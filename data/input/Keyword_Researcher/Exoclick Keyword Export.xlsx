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joshb/Desktop/Dev/TJ_tool/data/input/Keyword_Researcher/"/>
    </mc:Choice>
  </mc:AlternateContent>
  <xr:revisionPtr revIDLastSave="0" documentId="8_{1F2761F8-A753-2D48-A249-1E1804C9AA15}" xr6:coauthVersionLast="47" xr6:coauthVersionMax="47" xr10:uidLastSave="{00000000-0000-0000-0000-000000000000}"/>
  <bookViews>
    <workbookView xWindow="-37200" yWindow="500" windowWidth="38080" windowHeight="19140" activeTab="3" xr2:uid="{4531172A-6DB4-154C-862E-7C7EE8E0BFB2}"/>
  </bookViews>
  <sheets>
    <sheet name="campaigns-2025-11-21" sheetId="1" r:id="rId1"/>
    <sheet name="Sheet2" sheetId="3" r:id="rId2"/>
    <sheet name="ExoLaunches" sheetId="4" r:id="rId3"/>
    <sheet name="Keywords to launch" sheetId="5" r:id="rId4"/>
    <sheet name="Sheet3" sheetId="6" r:id="rId5"/>
  </sheets>
  <definedNames>
    <definedName name="_xlnm._FilterDatabase" localSheetId="2" hidden="1">ExoLaunches!$A$1:$F$353</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a="1"/>
  <c r="B6" i="4" s="1"/>
  <c r="E6" i="4" s="1"/>
  <c r="B7" i="4" a="1"/>
  <c r="B7" i="4" s="1"/>
  <c r="E7" i="4" s="1"/>
  <c r="B245" i="4" a="1"/>
  <c r="B245" i="4" s="1"/>
  <c r="B244" i="4" a="1"/>
  <c r="B244" i="4" s="1"/>
  <c r="B243" i="4" a="1"/>
  <c r="B243" i="4" s="1"/>
  <c r="B242" i="4" a="1"/>
  <c r="B242" i="4" s="1"/>
  <c r="B241" i="4" a="1"/>
  <c r="B241" i="4" s="1"/>
  <c r="B240" i="4" a="1"/>
  <c r="B240" i="4" s="1"/>
  <c r="B239" i="4" a="1"/>
  <c r="B239" i="4" s="1"/>
  <c r="B238" i="4" a="1"/>
  <c r="B238" i="4" s="1"/>
  <c r="C238" i="4" s="1"/>
  <c r="B237" i="4" a="1"/>
  <c r="B237" i="4" s="1"/>
  <c r="B236" i="4" a="1"/>
  <c r="B236" i="4" s="1"/>
  <c r="C236" i="4" s="1"/>
  <c r="B235" i="4" a="1"/>
  <c r="B235" i="4" s="1"/>
  <c r="B234" i="4" a="1"/>
  <c r="B234" i="4" s="1"/>
  <c r="C234" i="4" s="1"/>
  <c r="F234" i="4" s="1"/>
  <c r="B233" i="4" a="1"/>
  <c r="B233" i="4" s="1"/>
  <c r="B232" i="4" a="1"/>
  <c r="B232" i="4" s="1"/>
  <c r="C232" i="4" s="1"/>
  <c r="F232" i="4" s="1"/>
  <c r="B231" i="4" a="1"/>
  <c r="B231" i="4" s="1"/>
  <c r="B230" i="4" a="1"/>
  <c r="B230" i="4" s="1"/>
  <c r="C230" i="4" s="1"/>
  <c r="F230" i="4" s="1"/>
  <c r="B229" i="4" a="1"/>
  <c r="B229" i="4" s="1"/>
  <c r="E228" i="4"/>
  <c r="B228" i="4" a="1"/>
  <c r="B228" i="4" s="1"/>
  <c r="C228" i="4" s="1"/>
  <c r="F228" i="4" s="1"/>
  <c r="B227" i="4" a="1"/>
  <c r="B227" i="4" s="1"/>
  <c r="B226" i="4" a="1"/>
  <c r="B226" i="4" s="1"/>
  <c r="C226" i="4" s="1"/>
  <c r="F226" i="4" s="1"/>
  <c r="B225" i="4" a="1"/>
  <c r="B225" i="4" s="1"/>
  <c r="B224" i="4" a="1"/>
  <c r="B224" i="4" s="1"/>
  <c r="C224" i="4" s="1"/>
  <c r="F224" i="4" s="1"/>
  <c r="B223" i="4" a="1"/>
  <c r="B223" i="4" s="1"/>
  <c r="B222" i="4" a="1"/>
  <c r="B222" i="4" s="1"/>
  <c r="C222" i="4" s="1"/>
  <c r="F222" i="4" s="1"/>
  <c r="B221" i="4" a="1"/>
  <c r="B221" i="4" s="1"/>
  <c r="B220" i="4" a="1"/>
  <c r="B220" i="4" s="1"/>
  <c r="C220" i="4" s="1"/>
  <c r="B219" i="4" a="1"/>
  <c r="B219" i="4" s="1"/>
  <c r="B218" i="4" a="1"/>
  <c r="B218" i="4" s="1"/>
  <c r="C218" i="4" s="1"/>
  <c r="B217" i="4" a="1"/>
  <c r="B217" i="4" s="1"/>
  <c r="B216" i="4" a="1"/>
  <c r="B216" i="4" s="1"/>
  <c r="C216" i="4" s="1"/>
  <c r="B215" i="4" a="1"/>
  <c r="B215" i="4" s="1"/>
  <c r="B214" i="4" a="1"/>
  <c r="B214" i="4" s="1"/>
  <c r="C214" i="4" s="1"/>
  <c r="B213" i="4" a="1"/>
  <c r="B213" i="4" s="1"/>
  <c r="B212" i="4" a="1"/>
  <c r="B212" i="4" s="1"/>
  <c r="C212" i="4" s="1"/>
  <c r="F212" i="4" s="1"/>
  <c r="B211" i="4" a="1"/>
  <c r="B211" i="4" s="1"/>
  <c r="B210" i="4" a="1"/>
  <c r="B210" i="4" s="1"/>
  <c r="C210" i="4" s="1"/>
  <c r="F210" i="4" s="1"/>
  <c r="B209" i="4" a="1"/>
  <c r="B209" i="4" s="1"/>
  <c r="B208" i="4" a="1"/>
  <c r="B208" i="4" s="1"/>
  <c r="C208" i="4" s="1"/>
  <c r="F208" i="4" s="1"/>
  <c r="B207" i="4" a="1"/>
  <c r="B207" i="4" s="1"/>
  <c r="B206" i="4" a="1"/>
  <c r="B206" i="4" s="1"/>
  <c r="C206" i="4" s="1"/>
  <c r="B205" i="4" a="1"/>
  <c r="B205" i="4" s="1"/>
  <c r="B204" i="4" a="1"/>
  <c r="B204" i="4" s="1"/>
  <c r="C204" i="4" s="1"/>
  <c r="B203" i="4" a="1"/>
  <c r="B203" i="4" s="1"/>
  <c r="B202" i="4" a="1"/>
  <c r="B202" i="4" s="1"/>
  <c r="C202" i="4" s="1"/>
  <c r="B201" i="4" a="1"/>
  <c r="B201" i="4" s="1"/>
  <c r="B200" i="4" a="1"/>
  <c r="B200" i="4" s="1"/>
  <c r="C200" i="4" s="1"/>
  <c r="B199" i="4" a="1"/>
  <c r="B199" i="4" s="1"/>
  <c r="B198" i="4" a="1"/>
  <c r="B198" i="4" s="1"/>
  <c r="C198" i="4" s="1"/>
  <c r="B197" i="4" a="1"/>
  <c r="B197" i="4" s="1"/>
  <c r="E196" i="4"/>
  <c r="B196" i="4" a="1"/>
  <c r="B196" i="4" s="1"/>
  <c r="C196" i="4" s="1"/>
  <c r="B195" i="4" a="1"/>
  <c r="B195" i="4" s="1"/>
  <c r="B194" i="4" a="1"/>
  <c r="B194" i="4" s="1"/>
  <c r="C194" i="4" s="1"/>
  <c r="B193" i="4" a="1"/>
  <c r="B193" i="4" s="1"/>
  <c r="B192" i="4" a="1"/>
  <c r="B192" i="4" s="1"/>
  <c r="C192" i="4" s="1"/>
  <c r="B191" i="4" a="1"/>
  <c r="B191" i="4" s="1"/>
  <c r="B190" i="4" a="1"/>
  <c r="B190" i="4" s="1"/>
  <c r="C190" i="4" s="1"/>
  <c r="B189" i="4" a="1"/>
  <c r="B189" i="4" s="1"/>
  <c r="C189" i="4" s="1"/>
  <c r="B188" i="4" a="1"/>
  <c r="B188" i="4" s="1"/>
  <c r="C188" i="4" s="1"/>
  <c r="B187" i="4" a="1"/>
  <c r="B187" i="4" s="1"/>
  <c r="B186" i="4" a="1"/>
  <c r="B186" i="4" s="1"/>
  <c r="C186" i="4" s="1"/>
  <c r="B185" i="4" a="1"/>
  <c r="B185" i="4" s="1"/>
  <c r="C185" i="4" s="1"/>
  <c r="F185" i="4" s="1"/>
  <c r="B184" i="4" a="1"/>
  <c r="B184" i="4" s="1"/>
  <c r="C184" i="4" s="1"/>
  <c r="B183" i="4" a="1"/>
  <c r="B183" i="4" s="1"/>
  <c r="B182" i="4" a="1"/>
  <c r="B182" i="4" s="1"/>
  <c r="C182" i="4" s="1"/>
  <c r="F182" i="4" s="1"/>
  <c r="B181" i="4" a="1"/>
  <c r="B181" i="4" s="1"/>
  <c r="C181" i="4" s="1"/>
  <c r="B180" i="4" a="1"/>
  <c r="B180" i="4" s="1"/>
  <c r="C180" i="4" s="1"/>
  <c r="B179" i="4" a="1"/>
  <c r="B179" i="4" s="1"/>
  <c r="C179" i="4" s="1"/>
  <c r="B178" i="4" a="1"/>
  <c r="B178" i="4" s="1"/>
  <c r="C178" i="4" s="1"/>
  <c r="B177" i="4" a="1"/>
  <c r="B177" i="4" s="1"/>
  <c r="C177" i="4" s="1"/>
  <c r="B176" i="4" a="1"/>
  <c r="B176" i="4" s="1"/>
  <c r="C176" i="4" s="1"/>
  <c r="B175" i="4" a="1"/>
  <c r="B175" i="4" s="1"/>
  <c r="C175" i="4" s="1"/>
  <c r="B174" i="4" a="1"/>
  <c r="B174" i="4" s="1"/>
  <c r="B173" i="4" a="1"/>
  <c r="B173" i="4" s="1"/>
  <c r="C173" i="4" s="1"/>
  <c r="B172" i="4" a="1"/>
  <c r="B172" i="4" s="1"/>
  <c r="C172" i="4" s="1"/>
  <c r="F172" i="4" s="1"/>
  <c r="B171" i="4" a="1"/>
  <c r="B171" i="4" s="1"/>
  <c r="C171" i="4" s="1"/>
  <c r="F171" i="4" s="1"/>
  <c r="B170" i="4" a="1"/>
  <c r="B170" i="4" s="1"/>
  <c r="C170" i="4" s="1"/>
  <c r="B169" i="4" a="1"/>
  <c r="B169" i="4" s="1"/>
  <c r="C169" i="4" s="1"/>
  <c r="F169" i="4" s="1"/>
  <c r="B168" i="4" a="1"/>
  <c r="B168" i="4" s="1"/>
  <c r="C168" i="4" s="1"/>
  <c r="F168" i="4" s="1"/>
  <c r="B167" i="4" a="1"/>
  <c r="B167" i="4" s="1"/>
  <c r="C167" i="4" s="1"/>
  <c r="F167" i="4" s="1"/>
  <c r="B166" i="4" a="1"/>
  <c r="B166" i="4" s="1"/>
  <c r="B165" i="4" a="1"/>
  <c r="B165" i="4" s="1"/>
  <c r="C165" i="4" s="1"/>
  <c r="B164" i="4" a="1"/>
  <c r="B164" i="4" s="1"/>
  <c r="C164" i="4" s="1"/>
  <c r="F164" i="4" s="1"/>
  <c r="B163" i="4" a="1"/>
  <c r="B163" i="4" s="1"/>
  <c r="B162" i="4" a="1"/>
  <c r="B162" i="4" s="1"/>
  <c r="C162" i="4" s="1"/>
  <c r="F162" i="4" s="1"/>
  <c r="B161" i="4" a="1"/>
  <c r="B161" i="4" s="1"/>
  <c r="C161" i="4" s="1"/>
  <c r="F161" i="4" s="1"/>
  <c r="B160" i="4" a="1"/>
  <c r="B160" i="4" s="1"/>
  <c r="C160" i="4" s="1"/>
  <c r="F160" i="4" s="1"/>
  <c r="B159" i="4" a="1"/>
  <c r="B159" i="4" s="1"/>
  <c r="C159" i="4" s="1"/>
  <c r="F159" i="4" s="1"/>
  <c r="B158" i="4" a="1"/>
  <c r="B158" i="4" s="1"/>
  <c r="B157" i="4" a="1"/>
  <c r="B157" i="4" s="1"/>
  <c r="B156" i="4" a="1"/>
  <c r="B156" i="4" s="1"/>
  <c r="C156" i="4" s="1"/>
  <c r="F156" i="4" s="1"/>
  <c r="B155" i="4" a="1"/>
  <c r="B155" i="4" s="1"/>
  <c r="C155" i="4" s="1"/>
  <c r="F155" i="4" s="1"/>
  <c r="B154" i="4" a="1"/>
  <c r="B154" i="4" s="1"/>
  <c r="B153" i="4" a="1"/>
  <c r="B153" i="4" s="1"/>
  <c r="B152" i="4" a="1"/>
  <c r="B152" i="4" s="1"/>
  <c r="B151" i="4" a="1"/>
  <c r="B151" i="4" s="1"/>
  <c r="C151" i="4" s="1"/>
  <c r="F151" i="4" s="1"/>
  <c r="B150" i="4" a="1"/>
  <c r="B150" i="4" s="1"/>
  <c r="B149" i="4" a="1"/>
  <c r="B149" i="4" s="1"/>
  <c r="B148" i="4" a="1"/>
  <c r="B148" i="4" s="1"/>
  <c r="B147" i="4" a="1"/>
  <c r="B147" i="4" s="1"/>
  <c r="B146" i="4" a="1"/>
  <c r="B146" i="4" s="1"/>
  <c r="B145" i="4" a="1"/>
  <c r="B145" i="4" s="1"/>
  <c r="B144" i="4" a="1"/>
  <c r="B144" i="4" s="1"/>
  <c r="B143" i="4" a="1"/>
  <c r="B143" i="4" s="1"/>
  <c r="C143" i="4" s="1"/>
  <c r="F143" i="4" s="1"/>
  <c r="B142" i="4" a="1"/>
  <c r="B142" i="4" s="1"/>
  <c r="B141" i="4" a="1"/>
  <c r="B141" i="4" s="1"/>
  <c r="C34" i="4"/>
  <c r="B139" i="4" a="1"/>
  <c r="B139" i="4" s="1"/>
  <c r="E139" i="4" s="1"/>
  <c r="B25" i="4" a="1"/>
  <c r="B25" i="4" s="1"/>
  <c r="E25" i="4" s="1"/>
  <c r="B119" i="4" a="1"/>
  <c r="B119" i="4" s="1"/>
  <c r="E119" i="4" s="1"/>
  <c r="B95" i="4" a="1"/>
  <c r="B95" i="4" s="1"/>
  <c r="E95" i="4" s="1"/>
  <c r="B21" i="4" a="1"/>
  <c r="B21" i="4" s="1"/>
  <c r="E21" i="4" s="1"/>
  <c r="B122" i="4" a="1"/>
  <c r="B122" i="4" s="1"/>
  <c r="E122" i="4" s="1"/>
  <c r="B138" i="4" a="1"/>
  <c r="B138" i="4" s="1"/>
  <c r="E138" i="4" s="1"/>
  <c r="B56" i="4" a="1"/>
  <c r="B56" i="4" s="1"/>
  <c r="B120" i="4" a="1"/>
  <c r="B120" i="4" s="1"/>
  <c r="E120" i="4" s="1"/>
  <c r="B124" i="4" a="1"/>
  <c r="B124" i="4" s="1"/>
  <c r="E124" i="4" s="1"/>
  <c r="B28" i="4" a="1"/>
  <c r="B28" i="4" s="1"/>
  <c r="E28" i="4" s="1"/>
  <c r="B54" i="4" a="1"/>
  <c r="B54" i="4" s="1"/>
  <c r="B64" i="4" a="1"/>
  <c r="B64" i="4" s="1"/>
  <c r="E64" i="4" s="1"/>
  <c r="B19" i="4" a="1"/>
  <c r="B19" i="4" s="1"/>
  <c r="E19" i="4" s="1"/>
  <c r="B18" i="4" a="1"/>
  <c r="B18" i="4" s="1"/>
  <c r="E18" i="4" s="1"/>
  <c r="B30" i="4" a="1"/>
  <c r="B30" i="4" s="1"/>
  <c r="E30" i="4" s="1"/>
  <c r="B35" i="4" a="1"/>
  <c r="B35" i="4" s="1"/>
  <c r="B57" i="4" a="1"/>
  <c r="B57" i="4" s="1"/>
  <c r="B23" i="4" a="1"/>
  <c r="B23" i="4" s="1"/>
  <c r="E23" i="4" s="1"/>
  <c r="B86" i="4" a="1"/>
  <c r="B86" i="4" s="1"/>
  <c r="B140" i="4" a="1"/>
  <c r="B140" i="4" s="1"/>
  <c r="E140" i="4" s="1"/>
  <c r="B44" i="4" a="1"/>
  <c r="B44" i="4" s="1"/>
  <c r="E44" i="4" s="1"/>
  <c r="B69" i="4" a="1"/>
  <c r="B69" i="4" s="1"/>
  <c r="E69" i="4" s="1"/>
  <c r="B51" i="4" a="1"/>
  <c r="B51" i="4"/>
  <c r="E51" i="4" s="1"/>
  <c r="B59" i="4" a="1"/>
  <c r="B59" i="4" s="1"/>
  <c r="E59" i="4" s="1"/>
  <c r="B24" i="4" a="1"/>
  <c r="B24" i="4" s="1"/>
  <c r="E24" i="4" s="1"/>
  <c r="B31" i="4" a="1"/>
  <c r="B31" i="4" s="1"/>
  <c r="E31" i="4" s="1"/>
  <c r="B104" i="4" a="1"/>
  <c r="B104" i="4" s="1"/>
  <c r="E104" i="4" s="1"/>
  <c r="B107" i="4" a="1"/>
  <c r="B107" i="4" s="1"/>
  <c r="E107" i="4" s="1"/>
  <c r="B117" i="4" a="1"/>
  <c r="B117" i="4" s="1"/>
  <c r="E117" i="4" s="1"/>
  <c r="B74" i="4" a="1"/>
  <c r="B74" i="4" s="1"/>
  <c r="E74" i="4" s="1"/>
  <c r="B33" i="4" a="1"/>
  <c r="B33" i="4" s="1"/>
  <c r="E33" i="4" s="1"/>
  <c r="B77" i="4" a="1"/>
  <c r="B77" i="4" s="1"/>
  <c r="E77" i="4" s="1"/>
  <c r="B32" i="4" a="1"/>
  <c r="B32" i="4" s="1"/>
  <c r="E32" i="4" s="1"/>
  <c r="B53" i="4" a="1"/>
  <c r="B53" i="4" s="1"/>
  <c r="E53" i="4" s="1"/>
  <c r="B98" i="4" a="1"/>
  <c r="B98" i="4" s="1"/>
  <c r="E98" i="4" s="1"/>
  <c r="B84" i="4" a="1"/>
  <c r="B84" i="4" s="1"/>
  <c r="E84" i="4" s="1"/>
  <c r="B61" i="4" a="1"/>
  <c r="B61" i="4" s="1"/>
  <c r="E61" i="4" s="1"/>
  <c r="B47" i="4" a="1"/>
  <c r="B47" i="4" s="1"/>
  <c r="E47" i="4" s="1"/>
  <c r="B52" i="4" a="1"/>
  <c r="B52" i="4" s="1"/>
  <c r="E52" i="4" s="1"/>
  <c r="B20" i="4" a="1"/>
  <c r="B20" i="4" s="1"/>
  <c r="E20" i="4" s="1"/>
  <c r="B11" i="4" a="1"/>
  <c r="B11" i="4" s="1"/>
  <c r="E11" i="4" s="1"/>
  <c r="B12" i="4" a="1"/>
  <c r="B12" i="4" s="1"/>
  <c r="E12" i="4" s="1"/>
  <c r="B10" i="4" a="1"/>
  <c r="B10" i="4" s="1"/>
  <c r="E10" i="4" s="1"/>
  <c r="B2" i="4" a="1"/>
  <c r="B2" i="4" s="1"/>
  <c r="E2" i="4" s="1"/>
  <c r="B29" i="4" a="1"/>
  <c r="B29" i="4" s="1"/>
  <c r="E29" i="4" s="1"/>
  <c r="B5" i="4" a="1"/>
  <c r="B5" i="4" s="1"/>
  <c r="E5" i="4" s="1"/>
  <c r="B48" i="4" a="1"/>
  <c r="B48" i="4" s="1"/>
  <c r="E48" i="4" s="1"/>
  <c r="B3" i="4" a="1"/>
  <c r="B3" i="4" s="1"/>
  <c r="E3" i="4" s="1"/>
  <c r="B36" i="4" a="1"/>
  <c r="B36" i="4" s="1"/>
  <c r="E36" i="4" s="1"/>
  <c r="B50" i="4" a="1"/>
  <c r="B50" i="4" s="1"/>
  <c r="E50" i="4" s="1"/>
  <c r="B70" i="4" a="1"/>
  <c r="B70" i="4" s="1"/>
  <c r="E70" i="4" s="1"/>
  <c r="B76" i="4" a="1"/>
  <c r="B76" i="4" s="1"/>
  <c r="E76" i="4" s="1"/>
  <c r="B15" i="4" a="1"/>
  <c r="B15" i="4" s="1"/>
  <c r="E15" i="4" s="1"/>
  <c r="B26" i="4" a="1"/>
  <c r="B26" i="4" s="1"/>
  <c r="E26" i="4" s="1"/>
  <c r="B105" i="4" a="1"/>
  <c r="B105" i="4" s="1"/>
  <c r="E105" i="4" s="1"/>
  <c r="B92" i="4" a="1"/>
  <c r="B92" i="4" s="1"/>
  <c r="E92" i="4" s="1"/>
  <c r="B111" i="4" a="1"/>
  <c r="B111" i="4"/>
  <c r="E111" i="4" s="1"/>
  <c r="B78" i="4" a="1"/>
  <c r="B78" i="4" s="1"/>
  <c r="E78" i="4" s="1"/>
  <c r="B101" i="4" a="1"/>
  <c r="B101" i="4" s="1"/>
  <c r="E101" i="4" s="1"/>
  <c r="B110" i="4" a="1"/>
  <c r="B110" i="4" s="1"/>
  <c r="E110" i="4" s="1"/>
  <c r="B66" i="4" a="1"/>
  <c r="B66" i="4" s="1"/>
  <c r="E66" i="4" s="1"/>
  <c r="B67" i="4" a="1"/>
  <c r="B67" i="4" s="1"/>
  <c r="E67" i="4" s="1"/>
  <c r="B38" i="4" a="1"/>
  <c r="B38" i="4" s="1"/>
  <c r="E38" i="4" s="1"/>
  <c r="B9" i="4" a="1"/>
  <c r="B9" i="4" s="1"/>
  <c r="E9" i="4" s="1"/>
  <c r="B8" i="4" a="1"/>
  <c r="B8" i="4" s="1"/>
  <c r="E8" i="4" s="1"/>
  <c r="B106" i="4" a="1"/>
  <c r="B106" i="4" s="1"/>
  <c r="B112" i="4" a="1"/>
  <c r="B112" i="4" s="1"/>
  <c r="E112" i="4" s="1"/>
  <c r="B114" i="4" a="1"/>
  <c r="B114" i="4" s="1"/>
  <c r="E114" i="4" s="1"/>
  <c r="B115" i="4" a="1"/>
  <c r="B115" i="4" s="1"/>
  <c r="E115" i="4" s="1"/>
  <c r="B118" i="4" a="1"/>
  <c r="B118" i="4" s="1"/>
  <c r="E118" i="4" s="1"/>
  <c r="B13" i="4" a="1"/>
  <c r="B13" i="4" s="1"/>
  <c r="E13" i="4" s="1"/>
  <c r="B87" i="4" a="1"/>
  <c r="B87" i="4"/>
  <c r="E87" i="4" s="1"/>
  <c r="B17" i="4" a="1"/>
  <c r="B17" i="4" s="1"/>
  <c r="E17" i="4" s="1"/>
  <c r="B137" i="4" a="1"/>
  <c r="B137" i="4" s="1"/>
  <c r="E137" i="4" s="1"/>
  <c r="B108" i="4" a="1"/>
  <c r="B108" i="4" s="1"/>
  <c r="E108" i="4" s="1"/>
  <c r="B41" i="4" a="1"/>
  <c r="B41" i="4" s="1"/>
  <c r="E41" i="4" s="1"/>
  <c r="B126" i="4" a="1"/>
  <c r="B126" i="4" s="1"/>
  <c r="E126" i="4" s="1"/>
  <c r="B97" i="4" a="1"/>
  <c r="B97" i="4" s="1"/>
  <c r="E97" i="4" s="1"/>
  <c r="B127" i="4" a="1"/>
  <c r="B127" i="4" s="1"/>
  <c r="E127" i="4" s="1"/>
  <c r="B82" i="4" a="1"/>
  <c r="B82" i="4" s="1"/>
  <c r="E82" i="4" s="1"/>
  <c r="B45" i="4" a="1"/>
  <c r="B45" i="4"/>
  <c r="E45" i="4" s="1"/>
  <c r="B88" i="4" a="1"/>
  <c r="B88" i="4" s="1"/>
  <c r="E88" i="4" s="1"/>
  <c r="B42" i="4" a="1"/>
  <c r="B42" i="4" s="1"/>
  <c r="E42" i="4" s="1"/>
  <c r="B130" i="4" a="1"/>
  <c r="B130" i="4" s="1"/>
  <c r="E130" i="4" s="1"/>
  <c r="B133" i="4" a="1"/>
  <c r="B133" i="4" s="1"/>
  <c r="E133" i="4" s="1"/>
  <c r="B100" i="4" a="1"/>
  <c r="B100" i="4"/>
  <c r="E100" i="4" s="1"/>
  <c r="B40" i="4" a="1"/>
  <c r="B40" i="4" s="1"/>
  <c r="E40" i="4" s="1"/>
  <c r="B121" i="4" a="1"/>
  <c r="B121" i="4" s="1"/>
  <c r="E121" i="4" s="1"/>
  <c r="B4" i="4" a="1"/>
  <c r="B4" i="4" s="1"/>
  <c r="E4" i="4" s="1"/>
  <c r="B65" i="4" a="1"/>
  <c r="B65" i="4" s="1"/>
  <c r="B49" i="4" a="1"/>
  <c r="B49" i="4" s="1"/>
  <c r="E49" i="4" s="1"/>
  <c r="B73" i="4" a="1"/>
  <c r="B73" i="4" s="1"/>
  <c r="E73" i="4" s="1"/>
  <c r="B109" i="4" a="1"/>
  <c r="B109" i="4" s="1"/>
  <c r="E109" i="4" s="1"/>
  <c r="B102" i="4" a="1"/>
  <c r="B102" i="4" s="1"/>
  <c r="B89" i="4" a="1"/>
  <c r="B89" i="4" s="1"/>
  <c r="E89" i="4" s="1"/>
  <c r="B55" i="4" a="1"/>
  <c r="B55" i="4" s="1"/>
  <c r="E55" i="4" s="1"/>
  <c r="B60" i="4" a="1"/>
  <c r="B60" i="4" s="1"/>
  <c r="E60" i="4" s="1"/>
  <c r="B71" i="4" a="1"/>
  <c r="B71" i="4" s="1"/>
  <c r="B125" i="4" a="1"/>
  <c r="B125" i="4" s="1"/>
  <c r="E125" i="4" s="1"/>
  <c r="B39" i="4" a="1"/>
  <c r="B39" i="4" s="1"/>
  <c r="E39" i="4" s="1"/>
  <c r="B80" i="4" a="1"/>
  <c r="B80" i="4" s="1"/>
  <c r="E80" i="4" s="1"/>
  <c r="B83" i="4" a="1"/>
  <c r="B83" i="4" s="1"/>
  <c r="E83" i="4" s="1"/>
  <c r="B81" i="4" a="1"/>
  <c r="B81" i="4" s="1"/>
  <c r="E81" i="4" s="1"/>
  <c r="B91" i="4" a="1"/>
  <c r="B91" i="4" s="1"/>
  <c r="E91" i="4" s="1"/>
  <c r="B68" i="4" a="1"/>
  <c r="B68" i="4" s="1"/>
  <c r="B46" i="4" a="1"/>
  <c r="B46" i="4" s="1"/>
  <c r="E46" i="4" s="1"/>
  <c r="B123" i="4" a="1"/>
  <c r="B123" i="4" s="1"/>
  <c r="E123" i="4" s="1"/>
  <c r="B34" i="4" a="1"/>
  <c r="B34" i="4" s="1"/>
  <c r="E34" i="4" s="1"/>
  <c r="B93" i="4" a="1"/>
  <c r="B93" i="4" s="1"/>
  <c r="E93" i="4" s="1"/>
  <c r="B103" i="4" a="1"/>
  <c r="B103" i="4" s="1"/>
  <c r="E103" i="4" s="1"/>
  <c r="B63" i="4" a="1"/>
  <c r="B63" i="4" s="1"/>
  <c r="E63" i="4" s="1"/>
  <c r="B134" i="4" a="1"/>
  <c r="B134" i="4" s="1"/>
  <c r="B43" i="4" a="1"/>
  <c r="B43" i="4" s="1"/>
  <c r="E43" i="4" s="1"/>
  <c r="B16" i="4" a="1"/>
  <c r="B16" i="4"/>
  <c r="E16" i="4" s="1"/>
  <c r="B62" i="4" a="1"/>
  <c r="B62" i="4" s="1"/>
  <c r="E62" i="4" s="1"/>
  <c r="B37" i="4" a="1"/>
  <c r="B37" i="4" s="1"/>
  <c r="E37" i="4" s="1"/>
  <c r="B94" i="4" a="1"/>
  <c r="B94" i="4" s="1"/>
  <c r="E94" i="4" s="1"/>
  <c r="B14" i="4" a="1"/>
  <c r="B14" i="4" s="1"/>
  <c r="E14" i="4" s="1"/>
  <c r="B96" i="4" a="1"/>
  <c r="B96" i="4"/>
  <c r="E96" i="4" s="1"/>
  <c r="B113" i="4" a="1"/>
  <c r="B113" i="4" s="1"/>
  <c r="E113" i="4" s="1"/>
  <c r="B128" i="4" a="1"/>
  <c r="B128" i="4" s="1"/>
  <c r="E128" i="4" s="1"/>
  <c r="B132" i="4" a="1"/>
  <c r="B132" i="4" s="1"/>
  <c r="E132" i="4" s="1"/>
  <c r="B116" i="4" a="1"/>
  <c r="B116" i="4" s="1"/>
  <c r="B22" i="4" a="1"/>
  <c r="B22" i="4" s="1"/>
  <c r="E22" i="4" s="1"/>
  <c r="B72" i="4" a="1"/>
  <c r="B72" i="4" s="1"/>
  <c r="E72" i="4" s="1"/>
  <c r="B58" i="4" a="1"/>
  <c r="B58" i="4" s="1"/>
  <c r="E58" i="4" s="1"/>
  <c r="B79" i="4" a="1"/>
  <c r="B79" i="4" s="1"/>
  <c r="E79" i="4" s="1"/>
  <c r="B135" i="4" a="1"/>
  <c r="B135" i="4" s="1"/>
  <c r="E135" i="4" s="1"/>
  <c r="B129" i="4" a="1"/>
  <c r="B129" i="4" s="1"/>
  <c r="E129" i="4" s="1"/>
  <c r="B136" i="4" a="1"/>
  <c r="B136" i="4" s="1"/>
  <c r="E136" i="4" s="1"/>
  <c r="B75" i="4" a="1"/>
  <c r="B75" i="4" s="1"/>
  <c r="E75" i="4" s="1"/>
  <c r="B85" i="4" a="1"/>
  <c r="B85" i="4" s="1"/>
  <c r="E85" i="4" s="1"/>
  <c r="B131" i="4" a="1"/>
  <c r="B131" i="4" s="1"/>
  <c r="E131" i="4" s="1"/>
  <c r="B99" i="4" a="1"/>
  <c r="B99" i="4" s="1"/>
  <c r="E99" i="4" s="1"/>
  <c r="B90" i="4" a="1"/>
  <c r="B90" i="4" s="1"/>
  <c r="E90" i="4" s="1"/>
  <c r="B27" i="4" a="1"/>
  <c r="B27" i="4" s="1"/>
  <c r="E27" i="4" s="1"/>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4" i="3"/>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c r="B43" i="1" a="1"/>
  <c r="B43" i="1" s="1"/>
  <c r="B44" i="1" a="1"/>
  <c r="B44" i="1" s="1"/>
  <c r="B45" i="1" a="1"/>
  <c r="B45" i="1" s="1"/>
  <c r="B46" i="1" a="1"/>
  <c r="B46" i="1"/>
  <c r="B47" i="1" a="1"/>
  <c r="B47" i="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c r="B63" i="1" a="1"/>
  <c r="B63" i="1" s="1"/>
  <c r="B64" i="1" a="1"/>
  <c r="B64" i="1" s="1"/>
  <c r="B65" i="1" a="1"/>
  <c r="B65" i="1" s="1"/>
  <c r="B66" i="1" a="1"/>
  <c r="B66" i="1" s="1"/>
  <c r="B67" i="1" a="1"/>
  <c r="B67" i="1"/>
  <c r="B68" i="1" a="1"/>
  <c r="B68" i="1" s="1"/>
  <c r="B69" i="1" a="1"/>
  <c r="B69" i="1" s="1"/>
  <c r="B70" i="1" a="1"/>
  <c r="B70" i="1" s="1"/>
  <c r="B71" i="1" a="1"/>
  <c r="B71" i="1" s="1"/>
  <c r="B72" i="1" a="1"/>
  <c r="B72" i="1"/>
  <c r="B73" i="1" a="1"/>
  <c r="B73" i="1" s="1"/>
  <c r="B74" i="1" a="1"/>
  <c r="B74" i="1" s="1"/>
  <c r="B75" i="1" a="1"/>
  <c r="B75" i="1" s="1"/>
  <c r="B76" i="1" a="1"/>
  <c r="B76" i="1" s="1"/>
  <c r="B77" i="1" a="1"/>
  <c r="B77" i="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c r="B98" i="1" a="1"/>
  <c r="B98" i="1" s="1"/>
  <c r="B99" i="1" a="1"/>
  <c r="B99" i="1" s="1"/>
  <c r="B100" i="1" a="1"/>
  <c r="B100" i="1" s="1"/>
  <c r="B101" i="1" a="1"/>
  <c r="B101" i="1" s="1"/>
  <c r="B102" i="1" a="1"/>
  <c r="B102" i="1"/>
  <c r="B103" i="1" a="1"/>
  <c r="B103" i="1" s="1"/>
  <c r="B104" i="1" a="1"/>
  <c r="B104" i="1" s="1"/>
  <c r="B105" i="1" a="1"/>
  <c r="B105" i="1" s="1"/>
  <c r="B106" i="1" a="1"/>
  <c r="B106" i="1"/>
  <c r="B107" i="1" a="1"/>
  <c r="B107" i="1"/>
  <c r="B108" i="1" a="1"/>
  <c r="B108" i="1" s="1"/>
  <c r="B109" i="1" a="1"/>
  <c r="B109" i="1" s="1"/>
  <c r="B110" i="1" a="1"/>
  <c r="B110" i="1" s="1"/>
  <c r="B111" i="1" a="1"/>
  <c r="B111" i="1" s="1"/>
  <c r="B112" i="1" a="1"/>
  <c r="B112" i="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c r="B128" i="1" a="1"/>
  <c r="B128" i="1" s="1"/>
  <c r="B129" i="1" a="1"/>
  <c r="B129" i="1" s="1"/>
  <c r="B130" i="1" a="1"/>
  <c r="B130" i="1" s="1"/>
  <c r="B131" i="1" a="1"/>
  <c r="B131" i="1" s="1"/>
  <c r="B132" i="1" a="1"/>
  <c r="B132" i="1" s="1"/>
  <c r="B133" i="1" a="1"/>
  <c r="B133" i="1" s="1"/>
  <c r="B134" i="1" a="1"/>
  <c r="B134" i="1" s="1"/>
  <c r="B135" i="1" a="1"/>
  <c r="B135" i="1" s="1"/>
  <c r="B136" i="1" a="1"/>
  <c r="B136" i="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c r="B152" i="1" a="1"/>
  <c r="B152" i="1"/>
  <c r="B153" i="1" a="1"/>
  <c r="B153" i="1" s="1"/>
  <c r="B154" i="1" a="1"/>
  <c r="B154" i="1" s="1"/>
  <c r="B155" i="1" a="1"/>
  <c r="B155" i="1" s="1"/>
  <c r="B156" i="1" a="1"/>
  <c r="B156" i="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c r="B182" i="1" a="1"/>
  <c r="B182" i="1" s="1"/>
  <c r="B183" i="1" a="1"/>
  <c r="B183" i="1" s="1"/>
  <c r="B184" i="1" a="1"/>
  <c r="B184" i="1" s="1"/>
  <c r="B185" i="1" a="1"/>
  <c r="B185" i="1" s="1"/>
  <c r="B186" i="1" a="1"/>
  <c r="B186" i="1" s="1"/>
  <c r="B187" i="1" a="1"/>
  <c r="B187" i="1" s="1"/>
  <c r="B188" i="1" a="1"/>
  <c r="B188" i="1" s="1"/>
  <c r="B189" i="1" a="1"/>
  <c r="B189" i="1" s="1"/>
  <c r="B190" i="1" a="1"/>
  <c r="B190" i="1" s="1"/>
  <c r="B191" i="1" a="1"/>
  <c r="B191" i="1"/>
  <c r="B192" i="1" a="1"/>
  <c r="B192" i="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c r="B207" i="1" a="1"/>
  <c r="B207" i="1"/>
  <c r="B208" i="1" a="1"/>
  <c r="B208" i="1" s="1"/>
  <c r="B209" i="1" a="1"/>
  <c r="B209" i="1" s="1"/>
  <c r="B210" i="1" a="1"/>
  <c r="B210" i="1" s="1"/>
  <c r="B211" i="1" a="1"/>
  <c r="B211" i="1" s="1"/>
  <c r="B212" i="1" a="1"/>
  <c r="B212" i="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c r="B228" i="1" a="1"/>
  <c r="B228" i="1" s="1"/>
  <c r="B229" i="1" a="1"/>
  <c r="B229" i="1" s="1"/>
  <c r="B230" i="1" a="1"/>
  <c r="B230" i="1" s="1"/>
  <c r="B231" i="1" a="1"/>
  <c r="B231" i="1" s="1"/>
  <c r="B232" i="1" a="1"/>
  <c r="B232" i="1" s="1"/>
  <c r="B233" i="1" a="1"/>
  <c r="B233" i="1" s="1"/>
  <c r="B234" i="1" a="1"/>
  <c r="B234" i="1" s="1"/>
  <c r="B235" i="1" a="1"/>
  <c r="B235" i="1" s="1"/>
  <c r="B236" i="1" a="1"/>
  <c r="B236" i="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c r="B248" i="1" a="1"/>
  <c r="B248" i="1" s="1"/>
  <c r="B249" i="1" a="1"/>
  <c r="B249" i="1" s="1"/>
  <c r="B250" i="1" a="1"/>
  <c r="B250" i="1" s="1"/>
  <c r="B251" i="1" a="1"/>
  <c r="B251" i="1" s="1"/>
  <c r="B252" i="1" a="1"/>
  <c r="B252" i="1" s="1"/>
  <c r="B253" i="1" a="1"/>
  <c r="B253" i="1" s="1"/>
  <c r="B254" i="1" a="1"/>
  <c r="B254" i="1" s="1"/>
  <c r="B255" i="1" a="1"/>
  <c r="B255" i="1" s="1"/>
  <c r="B256" i="1" a="1"/>
  <c r="B256" i="1" s="1"/>
  <c r="B257" i="1" a="1"/>
  <c r="B257" i="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c r="B272" i="1" a="1"/>
  <c r="B272" i="1" s="1"/>
  <c r="B273" i="1" a="1"/>
  <c r="B273" i="1" s="1"/>
  <c r="B274" i="1" a="1"/>
  <c r="B274" i="1" s="1"/>
  <c r="B275" i="1" a="1"/>
  <c r="B275" i="1" s="1"/>
  <c r="B276" i="1" a="1"/>
  <c r="B276" i="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c r="B293" i="1" a="1"/>
  <c r="B293" i="1" s="1"/>
  <c r="B294" i="1" a="1"/>
  <c r="B294" i="1" s="1"/>
  <c r="B295" i="1" a="1"/>
  <c r="B295" i="1" s="1"/>
  <c r="B296" i="1" a="1"/>
  <c r="B296" i="1" s="1"/>
  <c r="B297" i="1" a="1"/>
  <c r="B297" i="1"/>
  <c r="B298" i="1" a="1"/>
  <c r="B298" i="1" s="1"/>
  <c r="B299" i="1" a="1"/>
  <c r="B299" i="1" s="1"/>
  <c r="B300" i="1" a="1"/>
  <c r="B300" i="1" s="1"/>
  <c r="B301" i="1" a="1"/>
  <c r="B301" i="1"/>
  <c r="B302" i="1" a="1"/>
  <c r="B302" i="1" s="1"/>
  <c r="B303" i="1" a="1"/>
  <c r="B303" i="1" s="1"/>
  <c r="B304" i="1" a="1"/>
  <c r="B304" i="1" s="1"/>
  <c r="B305" i="1" a="1"/>
  <c r="B305" i="1" s="1"/>
  <c r="B306" i="1" a="1"/>
  <c r="B306" i="1"/>
  <c r="B307" i="1" a="1"/>
  <c r="B307" i="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c r="B342" i="1" a="1"/>
  <c r="B342" i="1" s="1"/>
  <c r="B343" i="1" a="1"/>
  <c r="B343" i="1" s="1"/>
  <c r="B344" i="1" a="1"/>
  <c r="B344" i="1" s="1"/>
  <c r="B345" i="1" a="1"/>
  <c r="B345" i="1" s="1"/>
  <c r="B346" i="1" a="1"/>
  <c r="B346" i="1" s="1"/>
  <c r="B347" i="1" a="1"/>
  <c r="B347" i="1" s="1"/>
  <c r="B348" i="1" a="1"/>
  <c r="B348" i="1" s="1"/>
  <c r="B349" i="1" a="1"/>
  <c r="B349" i="1" s="1"/>
  <c r="B350" i="1" a="1"/>
  <c r="B350" i="1" s="1"/>
  <c r="B351" i="1" a="1"/>
  <c r="B351" i="1"/>
  <c r="B352" i="1" a="1"/>
  <c r="B352" i="1" s="1"/>
  <c r="B353" i="1" a="1"/>
  <c r="B353" i="1" s="1"/>
  <c r="B354" i="1" a="1"/>
  <c r="B354" i="1" s="1"/>
  <c r="B355" i="1" a="1"/>
  <c r="B355" i="1" s="1"/>
  <c r="B356" i="1" a="1"/>
  <c r="B356" i="1"/>
  <c r="B357" i="1" a="1"/>
  <c r="B357" i="1"/>
  <c r="B358" i="1" a="1"/>
  <c r="B358" i="1" s="1"/>
  <c r="B359" i="1" a="1"/>
  <c r="B359" i="1" s="1"/>
  <c r="B360" i="1" a="1"/>
  <c r="B360" i="1" s="1"/>
  <c r="B361" i="1" a="1"/>
  <c r="B361" i="1" s="1"/>
  <c r="B362" i="1" a="1"/>
  <c r="B362" i="1"/>
  <c r="B363" i="1" a="1"/>
  <c r="B363" i="1" s="1"/>
  <c r="B364" i="1" a="1"/>
  <c r="B364" i="1" s="1"/>
  <c r="B365" i="1" a="1"/>
  <c r="B365" i="1" s="1"/>
  <c r="B366" i="1" a="1"/>
  <c r="B366" i="1" s="1"/>
  <c r="B367" i="1" a="1"/>
  <c r="B367" i="1" s="1"/>
  <c r="B368" i="1" a="1"/>
  <c r="B368" i="1" s="1"/>
  <c r="B369" i="1" a="1"/>
  <c r="B369" i="1" s="1"/>
  <c r="B370" i="1" a="1"/>
  <c r="B370" i="1" s="1"/>
  <c r="B371" i="1" a="1"/>
  <c r="B371" i="1"/>
  <c r="B372" i="1" a="1"/>
  <c r="B372" i="1"/>
  <c r="B373" i="1" a="1"/>
  <c r="B373" i="1" s="1"/>
  <c r="B374" i="1" a="1"/>
  <c r="B374" i="1" s="1"/>
  <c r="B375" i="1" a="1"/>
  <c r="B375" i="1" s="1"/>
  <c r="B376" i="1" a="1"/>
  <c r="B376" i="1" s="1"/>
  <c r="B377" i="1" a="1"/>
  <c r="B377" i="1"/>
  <c r="B378" i="1" a="1"/>
  <c r="B378" i="1" s="1"/>
  <c r="B379" i="1" a="1"/>
  <c r="B379" i="1" s="1"/>
  <c r="B380" i="1" a="1"/>
  <c r="B380" i="1" s="1"/>
  <c r="B381" i="1" a="1"/>
  <c r="B381" i="1" s="1"/>
  <c r="B382" i="1" a="1"/>
  <c r="B382" i="1" s="1"/>
  <c r="B383" i="1" a="1"/>
  <c r="B383" i="1" s="1"/>
  <c r="B384" i="1" a="1"/>
  <c r="B384" i="1" s="1"/>
  <c r="B385" i="1" a="1"/>
  <c r="B385" i="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c r="B411" i="1" a="1"/>
  <c r="B411" i="1" s="1"/>
  <c r="B412" i="1" a="1"/>
  <c r="B412" i="1" s="1"/>
  <c r="B413" i="1" a="1"/>
  <c r="B413" i="1" s="1"/>
  <c r="B414" i="1" a="1"/>
  <c r="B414" i="1" s="1"/>
  <c r="B415" i="1" a="1"/>
  <c r="B415" i="1"/>
  <c r="B416" i="1" a="1"/>
  <c r="B416" i="1" s="1"/>
  <c r="B417" i="1" a="1"/>
  <c r="B417" i="1" s="1"/>
  <c r="B418" i="1" a="1"/>
  <c r="B418" i="1" s="1"/>
  <c r="B419" i="1" a="1"/>
  <c r="B419" i="1" s="1"/>
  <c r="B420" i="1" a="1"/>
  <c r="B420" i="1" s="1"/>
  <c r="B421" i="1" a="1"/>
  <c r="B421" i="1"/>
  <c r="B422" i="1" a="1"/>
  <c r="B422" i="1"/>
  <c r="B423" i="1" a="1"/>
  <c r="B423" i="1" s="1"/>
  <c r="B424" i="1" a="1"/>
  <c r="B424" i="1" s="1"/>
  <c r="B425" i="1" a="1"/>
  <c r="B425" i="1" s="1"/>
  <c r="B426" i="1" a="1"/>
  <c r="B426" i="1" s="1"/>
  <c r="B427" i="1" a="1"/>
  <c r="B427" i="1"/>
  <c r="B428" i="1" a="1"/>
  <c r="B428" i="1"/>
  <c r="B429" i="1" a="1"/>
  <c r="B429" i="1" s="1"/>
  <c r="B430" i="1" a="1"/>
  <c r="B430" i="1" s="1"/>
  <c r="B431" i="1" a="1"/>
  <c r="B431" i="1" s="1"/>
  <c r="B2" i="1" a="1"/>
  <c r="B2" i="1" s="1"/>
  <c r="C132" i="4" l="1"/>
  <c r="F132" i="4" s="1"/>
  <c r="C110" i="4"/>
  <c r="F110" i="4" s="1"/>
  <c r="E216" i="4"/>
  <c r="E220" i="4"/>
  <c r="C109" i="4"/>
  <c r="F109" i="4" s="1"/>
  <c r="C95" i="4"/>
  <c r="F95" i="4" s="1"/>
  <c r="C19" i="4"/>
  <c r="C51" i="4"/>
  <c r="F51" i="4" s="1"/>
  <c r="C74" i="4"/>
  <c r="F74" i="4" s="1"/>
  <c r="D124" i="4"/>
  <c r="E208" i="4"/>
  <c r="C174" i="4"/>
  <c r="E174" i="4"/>
  <c r="C147" i="4"/>
  <c r="F147" i="4" s="1"/>
  <c r="E147" i="4"/>
  <c r="C166" i="4"/>
  <c r="E166" i="4"/>
  <c r="E56" i="4"/>
  <c r="D56" i="4"/>
  <c r="C163" i="4"/>
  <c r="F163" i="4" s="1"/>
  <c r="E163" i="4"/>
  <c r="C32" i="4"/>
  <c r="D190" i="4"/>
  <c r="E198" i="4"/>
  <c r="E206" i="4"/>
  <c r="E230" i="4"/>
  <c r="E238" i="4"/>
  <c r="D182" i="4"/>
  <c r="D138" i="4"/>
  <c r="C11" i="4"/>
  <c r="D44" i="4"/>
  <c r="E151" i="4"/>
  <c r="C118" i="4"/>
  <c r="F118" i="4" s="1"/>
  <c r="D29" i="4"/>
  <c r="E200" i="4"/>
  <c r="C127" i="4"/>
  <c r="F127" i="4" s="1"/>
  <c r="D110" i="4"/>
  <c r="D186" i="4"/>
  <c r="D232" i="4"/>
  <c r="C138" i="4"/>
  <c r="F138" i="4" s="1"/>
  <c r="C80" i="4"/>
  <c r="F80" i="4" s="1"/>
  <c r="E172" i="4"/>
  <c r="E176" i="4"/>
  <c r="E210" i="4"/>
  <c r="E218" i="4"/>
  <c r="E226" i="4"/>
  <c r="C145" i="4"/>
  <c r="F145" i="4" s="1"/>
  <c r="E145" i="4"/>
  <c r="D145" i="4"/>
  <c r="C157" i="4"/>
  <c r="E157" i="4"/>
  <c r="D157" i="4"/>
  <c r="E146" i="4"/>
  <c r="D146" i="4"/>
  <c r="C146" i="4"/>
  <c r="F146" i="4" s="1"/>
  <c r="E158" i="4"/>
  <c r="D158" i="4"/>
  <c r="C158" i="4"/>
  <c r="F158" i="4" s="1"/>
  <c r="C141" i="4"/>
  <c r="F141" i="4" s="1"/>
  <c r="E141" i="4"/>
  <c r="D141" i="4"/>
  <c r="C153" i="4"/>
  <c r="F153" i="4" s="1"/>
  <c r="D153" i="4"/>
  <c r="E153" i="4"/>
  <c r="E142" i="4"/>
  <c r="D142" i="4"/>
  <c r="C142" i="4"/>
  <c r="E154" i="4"/>
  <c r="D154" i="4"/>
  <c r="C154" i="4"/>
  <c r="F154" i="4" s="1"/>
  <c r="C149" i="4"/>
  <c r="F149" i="4" s="1"/>
  <c r="E149" i="4"/>
  <c r="D149" i="4"/>
  <c r="E150" i="4"/>
  <c r="D150" i="4"/>
  <c r="C150" i="4"/>
  <c r="F150" i="4" s="1"/>
  <c r="D159" i="4"/>
  <c r="E165" i="4"/>
  <c r="D165" i="4"/>
  <c r="D168" i="4"/>
  <c r="E175" i="4"/>
  <c r="D175" i="4"/>
  <c r="D178" i="4"/>
  <c r="D194" i="4"/>
  <c r="E199" i="4"/>
  <c r="D199" i="4"/>
  <c r="C199" i="4"/>
  <c r="D204" i="4"/>
  <c r="E209" i="4"/>
  <c r="C209" i="4"/>
  <c r="F209" i="4" s="1"/>
  <c r="D209" i="4"/>
  <c r="D214" i="4"/>
  <c r="E219" i="4"/>
  <c r="D219" i="4"/>
  <c r="C219" i="4"/>
  <c r="D224" i="4"/>
  <c r="E229" i="4"/>
  <c r="D229" i="4"/>
  <c r="C229" i="4"/>
  <c r="F229" i="4" s="1"/>
  <c r="D234" i="4"/>
  <c r="E239" i="4"/>
  <c r="D239" i="4"/>
  <c r="C239" i="4"/>
  <c r="E148" i="4"/>
  <c r="D148" i="4"/>
  <c r="E194" i="4"/>
  <c r="E214" i="4"/>
  <c r="E234" i="4"/>
  <c r="E240" i="4"/>
  <c r="C240" i="4"/>
  <c r="E159" i="4"/>
  <c r="E168" i="4"/>
  <c r="E178" i="4"/>
  <c r="E204" i="4"/>
  <c r="E224" i="4"/>
  <c r="C148" i="4"/>
  <c r="F148" i="4" s="1"/>
  <c r="D151" i="4"/>
  <c r="E160" i="4"/>
  <c r="D160" i="4"/>
  <c r="D163" i="4"/>
  <c r="E169" i="4"/>
  <c r="D169" i="4"/>
  <c r="D172" i="4"/>
  <c r="E179" i="4"/>
  <c r="D179" i="4"/>
  <c r="E182" i="4"/>
  <c r="E186" i="4"/>
  <c r="E190" i="4"/>
  <c r="E195" i="4"/>
  <c r="D195" i="4"/>
  <c r="C195" i="4"/>
  <c r="D200" i="4"/>
  <c r="E205" i="4"/>
  <c r="D205" i="4"/>
  <c r="C205" i="4"/>
  <c r="D210" i="4"/>
  <c r="E215" i="4"/>
  <c r="D215" i="4"/>
  <c r="C215" i="4"/>
  <c r="D220" i="4"/>
  <c r="E225" i="4"/>
  <c r="D225" i="4"/>
  <c r="C225" i="4"/>
  <c r="F225" i="4" s="1"/>
  <c r="D230" i="4"/>
  <c r="E235" i="4"/>
  <c r="D235" i="4"/>
  <c r="C235" i="4"/>
  <c r="D240" i="4"/>
  <c r="E183" i="4"/>
  <c r="D183" i="4"/>
  <c r="E187" i="4"/>
  <c r="D187" i="4"/>
  <c r="E191" i="4"/>
  <c r="D191" i="4"/>
  <c r="E241" i="4"/>
  <c r="D241" i="4"/>
  <c r="C241" i="4"/>
  <c r="D143" i="4"/>
  <c r="E164" i="4"/>
  <c r="D164" i="4"/>
  <c r="D166" i="4"/>
  <c r="E173" i="4"/>
  <c r="D173" i="4"/>
  <c r="D176" i="4"/>
  <c r="C183" i="4"/>
  <c r="F183" i="4" s="1"/>
  <c r="C187" i="4"/>
  <c r="C191" i="4"/>
  <c r="D196" i="4"/>
  <c r="E201" i="4"/>
  <c r="C201" i="4"/>
  <c r="D201" i="4"/>
  <c r="D206" i="4"/>
  <c r="E211" i="4"/>
  <c r="D211" i="4"/>
  <c r="C211" i="4"/>
  <c r="F211" i="4" s="1"/>
  <c r="D216" i="4"/>
  <c r="E221" i="4"/>
  <c r="D221" i="4"/>
  <c r="C221" i="4"/>
  <c r="D226" i="4"/>
  <c r="E231" i="4"/>
  <c r="D231" i="4"/>
  <c r="C231" i="4"/>
  <c r="F231" i="4" s="1"/>
  <c r="D236" i="4"/>
  <c r="E242" i="4"/>
  <c r="C242" i="4"/>
  <c r="E156" i="4"/>
  <c r="D156" i="4"/>
  <c r="E236" i="4"/>
  <c r="D242" i="4"/>
  <c r="E143" i="4"/>
  <c r="E152" i="4"/>
  <c r="D152" i="4"/>
  <c r="C152" i="4"/>
  <c r="F152" i="4" s="1"/>
  <c r="D155" i="4"/>
  <c r="D161" i="4"/>
  <c r="E167" i="4"/>
  <c r="D167" i="4"/>
  <c r="D170" i="4"/>
  <c r="E177" i="4"/>
  <c r="D177" i="4"/>
  <c r="D180" i="4"/>
  <c r="D184" i="4"/>
  <c r="D188" i="4"/>
  <c r="D192" i="4"/>
  <c r="E197" i="4"/>
  <c r="C197" i="4"/>
  <c r="D197" i="4"/>
  <c r="D202" i="4"/>
  <c r="E207" i="4"/>
  <c r="D207" i="4"/>
  <c r="C207" i="4"/>
  <c r="F207" i="4" s="1"/>
  <c r="D212" i="4"/>
  <c r="E217" i="4"/>
  <c r="C217" i="4"/>
  <c r="D217" i="4"/>
  <c r="D222" i="4"/>
  <c r="E227" i="4"/>
  <c r="D227" i="4"/>
  <c r="C227" i="4"/>
  <c r="F227" i="4" s="1"/>
  <c r="E237" i="4"/>
  <c r="D237" i="4"/>
  <c r="C237" i="4"/>
  <c r="E243" i="4"/>
  <c r="C243" i="4"/>
  <c r="D243" i="4"/>
  <c r="E144" i="4"/>
  <c r="D144" i="4"/>
  <c r="E180" i="4"/>
  <c r="E184" i="4"/>
  <c r="E188" i="4"/>
  <c r="E192" i="4"/>
  <c r="E212" i="4"/>
  <c r="E155" i="4"/>
  <c r="E161" i="4"/>
  <c r="E170" i="4"/>
  <c r="E202" i="4"/>
  <c r="E222" i="4"/>
  <c r="E232" i="4"/>
  <c r="E244" i="4"/>
  <c r="D244" i="4"/>
  <c r="C244" i="4"/>
  <c r="F244" i="4" s="1"/>
  <c r="C144" i="4"/>
  <c r="F144" i="4" s="1"/>
  <c r="D147" i="4"/>
  <c r="E162" i="4"/>
  <c r="D162" i="4"/>
  <c r="E171" i="4"/>
  <c r="D171" i="4"/>
  <c r="D174" i="4"/>
  <c r="E181" i="4"/>
  <c r="D181" i="4"/>
  <c r="E185" i="4"/>
  <c r="D185" i="4"/>
  <c r="E189" i="4"/>
  <c r="D189" i="4"/>
  <c r="E193" i="4"/>
  <c r="C193" i="4"/>
  <c r="D193" i="4"/>
  <c r="D198" i="4"/>
  <c r="E203" i="4"/>
  <c r="C203" i="4"/>
  <c r="F203" i="4" s="1"/>
  <c r="D203" i="4"/>
  <c r="D208" i="4"/>
  <c r="E213" i="4"/>
  <c r="C213" i="4"/>
  <c r="F213" i="4" s="1"/>
  <c r="D213" i="4"/>
  <c r="D218" i="4"/>
  <c r="E223" i="4"/>
  <c r="D223" i="4"/>
  <c r="C223" i="4"/>
  <c r="F223" i="4" s="1"/>
  <c r="D228" i="4"/>
  <c r="E233" i="4"/>
  <c r="D233" i="4"/>
  <c r="C233" i="4"/>
  <c r="F233" i="4" s="1"/>
  <c r="D238" i="4"/>
  <c r="E245" i="4"/>
  <c r="D245" i="4"/>
  <c r="C245" i="4"/>
  <c r="F245" i="4" s="1"/>
  <c r="E102" i="4"/>
  <c r="C102" i="4"/>
  <c r="F102" i="4" s="1"/>
  <c r="D102" i="4"/>
  <c r="E86" i="4"/>
  <c r="C86" i="4"/>
  <c r="F86" i="4" s="1"/>
  <c r="D86" i="4"/>
  <c r="E68" i="4"/>
  <c r="D68" i="4"/>
  <c r="C68" i="4"/>
  <c r="F68" i="4" s="1"/>
  <c r="E134" i="4"/>
  <c r="D134" i="4"/>
  <c r="C134" i="4"/>
  <c r="F134" i="4" s="1"/>
  <c r="E71" i="4"/>
  <c r="D71" i="4"/>
  <c r="C71" i="4"/>
  <c r="F71" i="4" s="1"/>
  <c r="E65" i="4"/>
  <c r="D65" i="4"/>
  <c r="C65" i="4"/>
  <c r="F65" i="4" s="1"/>
  <c r="E57" i="4"/>
  <c r="D57" i="4"/>
  <c r="C57" i="4"/>
  <c r="F57" i="4" s="1"/>
  <c r="E54" i="4"/>
  <c r="D54" i="4"/>
  <c r="C54" i="4"/>
  <c r="F54" i="4" s="1"/>
  <c r="E116" i="4"/>
  <c r="C116" i="4"/>
  <c r="F116" i="4" s="1"/>
  <c r="D116" i="4"/>
  <c r="E35" i="4"/>
  <c r="D35" i="4"/>
  <c r="C35" i="4"/>
  <c r="F35" i="4" s="1"/>
  <c r="E106" i="4"/>
  <c r="D106" i="4"/>
  <c r="C106" i="4"/>
  <c r="F106" i="4" s="1"/>
  <c r="C50" i="4"/>
  <c r="F50" i="4" s="1"/>
  <c r="C6" i="4"/>
  <c r="C25" i="4"/>
  <c r="C124" i="4"/>
  <c r="F124" i="4" s="1"/>
  <c r="C44" i="4"/>
  <c r="F44" i="4" s="1"/>
  <c r="C7" i="4"/>
  <c r="C29" i="4"/>
  <c r="C26" i="4"/>
  <c r="C9" i="4"/>
  <c r="C137" i="4"/>
  <c r="F137" i="4" s="1"/>
  <c r="C42" i="4"/>
  <c r="F42" i="4" s="1"/>
  <c r="C55" i="4"/>
  <c r="F55" i="4" s="1"/>
  <c r="C81" i="4"/>
  <c r="F81" i="4" s="1"/>
  <c r="C103" i="4"/>
  <c r="F103" i="4" s="1"/>
  <c r="C37" i="4"/>
  <c r="F37" i="4" s="1"/>
  <c r="D122" i="4"/>
  <c r="D64" i="4"/>
  <c r="D23" i="4"/>
  <c r="D33" i="4"/>
  <c r="D78" i="4"/>
  <c r="D114" i="4"/>
  <c r="D126" i="4"/>
  <c r="D130" i="4"/>
  <c r="D49" i="4"/>
  <c r="D125" i="4"/>
  <c r="D46" i="4"/>
  <c r="D43" i="4"/>
  <c r="D113" i="4"/>
  <c r="D135" i="4"/>
  <c r="D85" i="4"/>
  <c r="D90" i="4"/>
  <c r="C119" i="4"/>
  <c r="F119" i="4" s="1"/>
  <c r="C28" i="4"/>
  <c r="C30" i="4"/>
  <c r="C69" i="4"/>
  <c r="F69" i="4" s="1"/>
  <c r="C117" i="4"/>
  <c r="F117" i="4" s="1"/>
  <c r="C61" i="4"/>
  <c r="F61" i="4" s="1"/>
  <c r="C5" i="4"/>
  <c r="C105" i="4"/>
  <c r="F105" i="4" s="1"/>
  <c r="C8" i="4"/>
  <c r="C108" i="4"/>
  <c r="F108" i="4" s="1"/>
  <c r="C60" i="4"/>
  <c r="F60" i="4" s="1"/>
  <c r="C91" i="4"/>
  <c r="C63" i="4"/>
  <c r="F63" i="4" s="1"/>
  <c r="C94" i="4"/>
  <c r="F94" i="4" s="1"/>
  <c r="C99" i="4"/>
  <c r="F99" i="4" s="1"/>
  <c r="D19" i="4"/>
  <c r="D24" i="4"/>
  <c r="D77" i="4"/>
  <c r="D20" i="4"/>
  <c r="D36" i="4"/>
  <c r="D101" i="4"/>
  <c r="D115" i="4"/>
  <c r="D97" i="4"/>
  <c r="D133" i="4"/>
  <c r="D73" i="4"/>
  <c r="D39" i="4"/>
  <c r="D123" i="4"/>
  <c r="D128" i="4"/>
  <c r="D131" i="4"/>
  <c r="C47" i="4"/>
  <c r="F47" i="4" s="1"/>
  <c r="C48" i="4"/>
  <c r="F48" i="4" s="1"/>
  <c r="C92" i="4"/>
  <c r="F92" i="4" s="1"/>
  <c r="C4" i="4"/>
  <c r="C14" i="4"/>
  <c r="D32" i="4"/>
  <c r="D11" i="4"/>
  <c r="D50" i="4"/>
  <c r="D118" i="4"/>
  <c r="D127" i="4"/>
  <c r="D6" i="4"/>
  <c r="D109" i="4"/>
  <c r="D80" i="4"/>
  <c r="D34" i="4"/>
  <c r="D132" i="4"/>
  <c r="C21" i="4"/>
  <c r="C59" i="4"/>
  <c r="F59" i="4" s="1"/>
  <c r="C52" i="4"/>
  <c r="F52" i="4" s="1"/>
  <c r="C3" i="4"/>
  <c r="C111" i="4"/>
  <c r="F111" i="4" s="1"/>
  <c r="C112" i="4"/>
  <c r="F112" i="4" s="1"/>
  <c r="C41" i="4"/>
  <c r="F41" i="4" s="1"/>
  <c r="C96" i="4"/>
  <c r="F96" i="4" s="1"/>
  <c r="D31" i="4"/>
  <c r="D53" i="4"/>
  <c r="D12" i="4"/>
  <c r="D70" i="4"/>
  <c r="D66" i="4"/>
  <c r="D13" i="4"/>
  <c r="D82" i="4"/>
  <c r="D100" i="4"/>
  <c r="D83" i="4"/>
  <c r="D93" i="4"/>
  <c r="D72" i="4"/>
  <c r="D129" i="4"/>
  <c r="C122" i="4"/>
  <c r="F122" i="4" s="1"/>
  <c r="C64" i="4"/>
  <c r="F64" i="4" s="1"/>
  <c r="C23" i="4"/>
  <c r="C33" i="4"/>
  <c r="F33" i="4" s="1"/>
  <c r="C78" i="4"/>
  <c r="F78" i="4" s="1"/>
  <c r="C114" i="4"/>
  <c r="F114" i="4" s="1"/>
  <c r="C126" i="4"/>
  <c r="F126" i="4" s="1"/>
  <c r="C130" i="4"/>
  <c r="F130" i="4" s="1"/>
  <c r="C49" i="4"/>
  <c r="F49" i="4" s="1"/>
  <c r="C125" i="4"/>
  <c r="F125" i="4" s="1"/>
  <c r="C46" i="4"/>
  <c r="F46" i="4" s="1"/>
  <c r="C43" i="4"/>
  <c r="F43" i="4" s="1"/>
  <c r="C113" i="4"/>
  <c r="F113" i="4" s="1"/>
  <c r="C135" i="4"/>
  <c r="C85" i="4"/>
  <c r="F85" i="4" s="1"/>
  <c r="C90" i="4"/>
  <c r="F90" i="4" s="1"/>
  <c r="D27" i="4"/>
  <c r="D140" i="4"/>
  <c r="D104" i="4"/>
  <c r="D98" i="4"/>
  <c r="D10" i="4"/>
  <c r="D76" i="4"/>
  <c r="D67" i="4"/>
  <c r="D87" i="4"/>
  <c r="D45" i="4"/>
  <c r="D40" i="4"/>
  <c r="D16" i="4"/>
  <c r="D58" i="4"/>
  <c r="D136" i="4"/>
  <c r="C24" i="4"/>
  <c r="C77" i="4"/>
  <c r="F77" i="4" s="1"/>
  <c r="C20" i="4"/>
  <c r="C36" i="4"/>
  <c r="F36" i="4" s="1"/>
  <c r="C101" i="4"/>
  <c r="F101" i="4" s="1"/>
  <c r="C115" i="4"/>
  <c r="F115" i="4" s="1"/>
  <c r="C97" i="4"/>
  <c r="F97" i="4" s="1"/>
  <c r="C133" i="4"/>
  <c r="F133" i="4" s="1"/>
  <c r="C73" i="4"/>
  <c r="F73" i="4" s="1"/>
  <c r="C39" i="4"/>
  <c r="F39" i="4" s="1"/>
  <c r="C123" i="4"/>
  <c r="F123" i="4" s="1"/>
  <c r="C128" i="4"/>
  <c r="F128" i="4" s="1"/>
  <c r="C131" i="4"/>
  <c r="F131" i="4" s="1"/>
  <c r="D139" i="4"/>
  <c r="D120" i="4"/>
  <c r="D18" i="4"/>
  <c r="D107" i="4"/>
  <c r="D84" i="4"/>
  <c r="D2" i="4"/>
  <c r="D15" i="4"/>
  <c r="D38" i="4"/>
  <c r="D17" i="4"/>
  <c r="D88" i="4"/>
  <c r="D121" i="4"/>
  <c r="D89" i="4"/>
  <c r="D62" i="4"/>
  <c r="D22" i="4"/>
  <c r="D79" i="4"/>
  <c r="D75" i="4"/>
  <c r="D25" i="4"/>
  <c r="D7" i="4"/>
  <c r="D26" i="4"/>
  <c r="D9" i="4"/>
  <c r="D137" i="4"/>
  <c r="D42" i="4"/>
  <c r="D55" i="4"/>
  <c r="D81" i="4"/>
  <c r="D103" i="4"/>
  <c r="D37" i="4"/>
  <c r="C56" i="4"/>
  <c r="C31" i="4"/>
  <c r="C53" i="4"/>
  <c r="F53" i="4" s="1"/>
  <c r="C12" i="4"/>
  <c r="C70" i="4"/>
  <c r="F70" i="4" s="1"/>
  <c r="C66" i="4"/>
  <c r="F66" i="4" s="1"/>
  <c r="C13" i="4"/>
  <c r="C82" i="4"/>
  <c r="F82" i="4" s="1"/>
  <c r="C100" i="4"/>
  <c r="F100" i="4" s="1"/>
  <c r="C83" i="4"/>
  <c r="F83" i="4" s="1"/>
  <c r="C93" i="4"/>
  <c r="F93" i="4" s="1"/>
  <c r="C72" i="4"/>
  <c r="C129" i="4"/>
  <c r="F129" i="4" s="1"/>
  <c r="D119" i="4"/>
  <c r="D28" i="4"/>
  <c r="D30" i="4"/>
  <c r="D69" i="4"/>
  <c r="D117" i="4"/>
  <c r="D61" i="4"/>
  <c r="D5" i="4"/>
  <c r="D105" i="4"/>
  <c r="D8" i="4"/>
  <c r="D108" i="4"/>
  <c r="D60" i="4"/>
  <c r="D91" i="4"/>
  <c r="D63" i="4"/>
  <c r="D94" i="4"/>
  <c r="D99" i="4"/>
  <c r="C27" i="4"/>
  <c r="C140" i="4"/>
  <c r="F140" i="4" s="1"/>
  <c r="C104" i="4"/>
  <c r="F104" i="4" s="1"/>
  <c r="C98" i="4"/>
  <c r="F98" i="4" s="1"/>
  <c r="C10" i="4"/>
  <c r="C76" i="4"/>
  <c r="F76" i="4" s="1"/>
  <c r="C67" i="4"/>
  <c r="F67" i="4" s="1"/>
  <c r="C87" i="4"/>
  <c r="F87" i="4" s="1"/>
  <c r="C45" i="4"/>
  <c r="F45" i="4" s="1"/>
  <c r="C40" i="4"/>
  <c r="F40" i="4" s="1"/>
  <c r="C16" i="4"/>
  <c r="C58" i="4"/>
  <c r="F58" i="4" s="1"/>
  <c r="C136" i="4"/>
  <c r="D95" i="4"/>
  <c r="D51" i="4"/>
  <c r="D74" i="4"/>
  <c r="D47" i="4"/>
  <c r="D48" i="4"/>
  <c r="D92" i="4"/>
  <c r="D4" i="4"/>
  <c r="D14" i="4"/>
  <c r="C139" i="4"/>
  <c r="F139" i="4" s="1"/>
  <c r="C120" i="4"/>
  <c r="F120" i="4" s="1"/>
  <c r="C18" i="4"/>
  <c r="C107" i="4"/>
  <c r="F107" i="4" s="1"/>
  <c r="C84" i="4"/>
  <c r="F84" i="4" s="1"/>
  <c r="C2" i="4"/>
  <c r="C15" i="4"/>
  <c r="C38" i="4"/>
  <c r="F38" i="4" s="1"/>
  <c r="C17" i="4"/>
  <c r="C88" i="4"/>
  <c r="F88" i="4" s="1"/>
  <c r="C121" i="4"/>
  <c r="F121" i="4" s="1"/>
  <c r="C89" i="4"/>
  <c r="F89" i="4" s="1"/>
  <c r="C62" i="4"/>
  <c r="F62" i="4" s="1"/>
  <c r="C22" i="4"/>
  <c r="C79" i="4"/>
  <c r="F79" i="4" s="1"/>
  <c r="C75" i="4"/>
  <c r="F75" i="4" s="1"/>
  <c r="D21" i="4"/>
  <c r="D59" i="4"/>
  <c r="D52" i="4"/>
  <c r="D3" i="4"/>
  <c r="D111" i="4"/>
  <c r="D112" i="4"/>
  <c r="D41" i="4"/>
  <c r="D9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<sst xmlns="http://schemas.openxmlformats.org/spreadsheetml/2006/main" count="3680" uniqueCount="1248">
  <si>
    <t>Name</t>
  </si>
  <si>
    <t>Group</t>
  </si>
  <si>
    <t>Status</t>
  </si>
  <si>
    <t>ID</t>
  </si>
  <si>
    <t>Ad Format</t>
  </si>
  <si>
    <t>Impressions</t>
  </si>
  <si>
    <t>Clicks</t>
  </si>
  <si>
    <t>eCPM</t>
  </si>
  <si>
    <t>Cost</t>
  </si>
  <si>
    <t>CTR</t>
  </si>
  <si>
    <t>eCPC</t>
  </si>
  <si>
    <t>8aeba7b41c36e0642d3ca7ba44ca9509 - Cnvs.</t>
  </si>
  <si>
    <t>8aeba7b41c36e0642d3ca7ba44ca9509 - eCPA</t>
  </si>
  <si>
    <t>Bidder</t>
  </si>
  <si>
    <t>Max Daily Budget</t>
  </si>
  <si>
    <t>CPA - RT TEST - Gay - Video-IS Xvideos - Mobile - USA</t>
  </si>
  <si>
    <t>1c. Scaling - Gay</t>
  </si>
  <si>
    <t>Running</t>
  </si>
  <si>
    <t>Video (Video)</t>
  </si>
  <si>
    <t>-</t>
  </si>
  <si>
    <t>null</t>
  </si>
  <si>
    <t>Unlimited</t>
  </si>
  <si>
    <t>Fixed CPM - Xvideos Hentai - Video-IS - Mobile - T2</t>
  </si>
  <si>
    <t>a99. Archived</t>
  </si>
  <si>
    <t>Paused</t>
  </si>
  <si>
    <t>n/a</t>
  </si>
  <si>
    <t>[Traffic Share - 15 %] - Fixed CPM - Xvideos Hentai - Video-IS - Mobile - T1</t>
  </si>
  <si>
    <t>0. Fixed CPM</t>
  </si>
  <si>
    <t>[Traffic Share - 40 %] - Fixed CPM - Xvideos Voyeur - Video-IS - Mobile - T1</t>
  </si>
  <si>
    <t>Fixed CPM - Xvideos Anal - Video-IS - Mobile - T1</t>
  </si>
  <si>
    <t>[Traffic Share - 15 %] - Fixed CPM - Xvideos Squirting - Video-IS - Mobile - T1</t>
  </si>
  <si>
    <t>CPA - bdsm - Video-IS Xvideos - Android Generic - Other Countries</t>
  </si>
  <si>
    <t>CPA - bdsm - Video-IS Xvideos - iOS - Other Countries</t>
  </si>
  <si>
    <t>1d. Oceangate</t>
  </si>
  <si>
    <t>CPA - bdsm - Video-IS Xvideos - Android Generic - CA</t>
  </si>
  <si>
    <t>CPA - bdsm - Video-IS Xvideos - Android Generic - US</t>
  </si>
  <si>
    <t>CPA - bdsm - Video-IS Xvideos - iOS - US</t>
  </si>
  <si>
    <t>CPA - Disney - Video-IS Xvideos - Android Other - Other Countries</t>
  </si>
  <si>
    <t>CPA - Disney - Video-IS Xvideos - Android Generic - Other Countries</t>
  </si>
  <si>
    <t>CPA - Disney - Video-IS Xvideos - iOS - Other Countries</t>
  </si>
  <si>
    <t>CPA - Disney - Video-IS Xvideos - Android Generic - CA</t>
  </si>
  <si>
    <t>CPA - Disney - Video-IS Xvideos - Android Generic - US</t>
  </si>
  <si>
    <t>1e. Ocean</t>
  </si>
  <si>
    <t>CPA - Disney - Video-IS Xvideos - iOS - US</t>
  </si>
  <si>
    <t>CPA - squirt - Video-IS Xvideos - Android Other - Other Countries</t>
  </si>
  <si>
    <t>CPA - squirt - Video-IS Xvideos - Android Generic - Other Countries</t>
  </si>
  <si>
    <t>CPA - squirt - Video-IS Xvideos - iOS - Other Countries</t>
  </si>
  <si>
    <t>CPA - squirt - Video-IS Xvideos - iOS - AU</t>
  </si>
  <si>
    <t>CPA - squirt - Video-IS Xvideos - Android Generic - CA</t>
  </si>
  <si>
    <t>CPA - squirt - Video-IS Xvideos - Android Generic - US</t>
  </si>
  <si>
    <t>CPA - squirt - Video-IS Xvideos - iOS - US</t>
  </si>
  <si>
    <t>CPA - hairy - Video-IS Xvideos - Android Other - Other Countries</t>
  </si>
  <si>
    <t>CPA - hairy - Video-IS Xvideos - Android Generic - Other Countries</t>
  </si>
  <si>
    <t>CPA - hairy - Video-IS Xvideos - Windows 10 - Other Countries</t>
  </si>
  <si>
    <t>CPA - hairy - Video-IS Xvideos - iOS - Other Countries</t>
  </si>
  <si>
    <t>CPA - hairy - Video-IS Xvideos - Android Generic - CA</t>
  </si>
  <si>
    <t>CPA - hairy - Video-IS Xvideos - iOS - CA</t>
  </si>
  <si>
    <t>CPA - hairy - Video-IS Xvideos - Android Generic - US</t>
  </si>
  <si>
    <t>CPA - hairy - Video-IS Xvideos - iOS - US</t>
  </si>
  <si>
    <t>CPA - Category: Asian - Video-IS Xvideos - Android Other - Other Countries</t>
  </si>
  <si>
    <t>CPA - Category: Asian - Video-IS Xvideos - Android Generic - Other Countries</t>
  </si>
  <si>
    <t>CPA - Category: Asian - Video-IS Xvideos - Windows 10 - Other Countries</t>
  </si>
  <si>
    <t>CPA - Category: Asian - Video-IS Xvideos - iOS - Other Countries</t>
  </si>
  <si>
    <t>CPA - Category: Asian - Video-IS Xvideos - Android Generic - CA</t>
  </si>
  <si>
    <t>CPA - Category: Asian - Video-IS Xvideos - iOS - CA</t>
  </si>
  <si>
    <t>CPA - Category: Asian - Video-IS Xvideos - Android Generic - US</t>
  </si>
  <si>
    <t>CPA - Category: Asian - Video-IS Xvideos - iOS - US</t>
  </si>
  <si>
    <t>CPA - Category: Asian - Video-IS Xvideos - Android Generic - UK</t>
  </si>
  <si>
    <t>CPA - Category: Japanese - Video-IS Xvideos - Android Other - Other Countries</t>
  </si>
  <si>
    <t>CPA - Category: Japanese - Video-IS Xvideos - Windows 10 - Other Countries</t>
  </si>
  <si>
    <t>CPA - Category: Japanese - Video-IS Xvideos - iOS - Other Countries</t>
  </si>
  <si>
    <t>CPA - Category: Japanese - Video-IS Xvideos - Android Generic - CA</t>
  </si>
  <si>
    <t>CPA - Category: Japanese - Video-IS Xvideos - Android Generic - US</t>
  </si>
  <si>
    <t>CPA - Category: Japanese - Video-IS Xvideos - MacOS - US</t>
  </si>
  <si>
    <t>CPA - Category: Japanese - Video-IS Xvideos - Windows 10 - US</t>
  </si>
  <si>
    <t>CPA - Category: Japanese - Video-IS Xvideos - iOS - US</t>
  </si>
  <si>
    <t>CPA - cuckold - Video-IS Xvideos - Android Other - Other Countries</t>
  </si>
  <si>
    <t>CPA - cuckold - Video-IS Xvideos - Android Generic - Other Countries</t>
  </si>
  <si>
    <t>CPA - cuckold - Video-IS Xvideos - iOS - Other Countries</t>
  </si>
  <si>
    <t>CPA - cuckold - Video-IS Xvideos - Android Generic - CA</t>
  </si>
  <si>
    <t>CPA - cuckold - Video-IS Xvideos - Android Generic - US</t>
  </si>
  <si>
    <t>CPA - cuckold - Video-IS Xvideos - iOS - US</t>
  </si>
  <si>
    <t>CPA - lingerie - Video-IS Xvideos - Android Other - Other Countries</t>
  </si>
  <si>
    <t>CPA - lingerie - Video-IS Xvideos - Android Generic - Other Countries</t>
  </si>
  <si>
    <t>CPA - lingerie - Video-IS Xvideos - MacOS - Other Countries</t>
  </si>
  <si>
    <t>CPA - lingerie - Video-IS Xvideos - Windows 10 - Other Countries</t>
  </si>
  <si>
    <t>CPA - lingerie - Video-IS Xvideos - iOS - Other Countries</t>
  </si>
  <si>
    <t>CPA - lingerie - Video-IS Xvideos - Android Generic - CA</t>
  </si>
  <si>
    <t>CPA - lingerie - Video-IS Xvideos - iOS - CA</t>
  </si>
  <si>
    <t>CPA - lingerie - Video-IS Xvideos - Android Generic - US</t>
  </si>
  <si>
    <t>CPA - lingerie - Video-IS Xvideos - iOS - US</t>
  </si>
  <si>
    <t>CPA - power - Video-IS Xvideos - Android Generic - Other Countries</t>
  </si>
  <si>
    <t>CPA - power - Video-IS Xvideos - Android Generic - US</t>
  </si>
  <si>
    <t>CPA - power - Video-IS Xvideos - iOS - US</t>
  </si>
  <si>
    <t>CPA - Handjob - Video-IS Xvideos - Android Other - Other Countries</t>
  </si>
  <si>
    <t>CPA - Handjob - Video-IS Xvideos - Android Generic - Other Countries</t>
  </si>
  <si>
    <t>CPA - Handjob - Video-IS Xvideos - MacOS - Other Countries</t>
  </si>
  <si>
    <t>CPA - Handjob - Video-IS Xvideos - Windows 10 - Other Countries</t>
  </si>
  <si>
    <t>CPA - Handjob - Video-IS Xvideos - iOS - Other Countries</t>
  </si>
  <si>
    <t>CPA - Handjob - Video-IS Xvideos - Android Generic - CA</t>
  </si>
  <si>
    <t>CPA - Handjob - Video-IS Xvideos - iOS - CA</t>
  </si>
  <si>
    <t>CPA - Handjob - Video-IS Xvideos - Android Generic - US</t>
  </si>
  <si>
    <t>CPA - Handjob - Video-IS Xvideos - iOS - US</t>
  </si>
  <si>
    <t>CPA - roleplay - Video-IS Xvideos - Android Other - Other Countries</t>
  </si>
  <si>
    <t>CPA - roleplay - Video-IS Xvideos - Android Generic - Other Countries</t>
  </si>
  <si>
    <t>CPA - roleplay - Video-IS Xvideos - iOS - Other Countries</t>
  </si>
  <si>
    <t>CPA - roleplay - Video-IS Xvideos - Android Generic - CA</t>
  </si>
  <si>
    <t>CPA - roleplay - Video-IS Xvideos - Android Generic - US</t>
  </si>
  <si>
    <t>CPA - roleplay - Video-IS Xvideos - iOS - US</t>
  </si>
  <si>
    <t>CPA - Category: Squirting - Video-IS Xvideos - Android Other - Other Countries</t>
  </si>
  <si>
    <t>CPA - Category: Squirting - Video-IS Xvideos - Windows 10 - Other Countries</t>
  </si>
  <si>
    <t>CPA - Category: Squirting - Video-IS Xvideos - iOS - Other Countries</t>
  </si>
  <si>
    <t>CPA - Category: Squirting - Video-IS Xvideos - Android Generic - CA</t>
  </si>
  <si>
    <t>CPA - Category: Squirting - Video-IS Xvideos - iOS - CA</t>
  </si>
  <si>
    <t>CPA - Category: Squirting - Video-IS Xvideos - Android Generic - US</t>
  </si>
  <si>
    <t>CPA - Category: Squirting - Video-IS Xvideos - iOS - US</t>
  </si>
  <si>
    <t>CPA - Category: Squirting - Video-IS Xvideos - iOS - UK</t>
  </si>
  <si>
    <t>CPA - milf - Video-IS Xvideos - Android Other - Other Countries</t>
  </si>
  <si>
    <t>CPA - milf - Video-IS Xvideos - Android Generic - Other Countries</t>
  </si>
  <si>
    <t>CPA - milf - Video-IS Xvideos - MacOS - Other Countries</t>
  </si>
  <si>
    <t>CPA - milf - Video-IS Xvideos - Windows 10 - Other Countries</t>
  </si>
  <si>
    <t>CPA - milf - Video-IS Xvideos - iOS - Other Countries</t>
  </si>
  <si>
    <t>CPA - milf - Video-IS Xvideos - Android Generic - AU</t>
  </si>
  <si>
    <t>CPA - milf - Video-IS Xvideos - iOS - AU</t>
  </si>
  <si>
    <t>CPA - milf - Video-IS Xvideos - Android Generic - CA</t>
  </si>
  <si>
    <t>CPA - milf - Video-IS Xvideos - Windows 10 - CA</t>
  </si>
  <si>
    <t>CPA - milf - Video-IS Xvideos - iOS - CA</t>
  </si>
  <si>
    <t>CPA - milf - Video-IS Xvideos - Android Other - US</t>
  </si>
  <si>
    <t>CPA - milf - Video-IS Xvideos - Android Generic - US</t>
  </si>
  <si>
    <t>CPA - milf - Video-IS Xvideos - MacOS - US</t>
  </si>
  <si>
    <t>CPA - milf - Video-IS Xvideos - Windows 10 - US</t>
  </si>
  <si>
    <t>CPA - milf - Video-IS Xvideos - iOS - US</t>
  </si>
  <si>
    <t>CPA - milf - Video-IS Xvideos - Android Generic - UK</t>
  </si>
  <si>
    <t>CPA - milf - Video-IS Xvideos - MacOS - UK</t>
  </si>
  <si>
    <t>CPA - milf - Video-IS Xvideos - iOS - UK</t>
  </si>
  <si>
    <t>CPA - bbc - Video-IS Xvideos - Android Other - Other Countries</t>
  </si>
  <si>
    <t>CPA - bbc - Video-IS Xvideos - Windows 10 - Other Countries</t>
  </si>
  <si>
    <t>CPA - bbc - Video-IS Xvideos - iOS - Other Countries</t>
  </si>
  <si>
    <t>CPA - bbc - Video-IS Xvideos - Android Generic - CA</t>
  </si>
  <si>
    <t>CPA - bbc - Video-IS Xvideos - iOS - CA</t>
  </si>
  <si>
    <t>CPA - bbc - Video-IS Xvideos - Android Generic - US</t>
  </si>
  <si>
    <t>CPA - bbc - Video-IS Xvideos - MacOS - US</t>
  </si>
  <si>
    <t>CPA - bbc - Video-IS Xvideos - Windows 10 - US</t>
  </si>
  <si>
    <t>CPA - bbc - Video-IS Xvideos - iOS - US</t>
  </si>
  <si>
    <t>CPA - bbc - Video-IS Xvideos - Android Generic - UK</t>
  </si>
  <si>
    <t>CPA - bbc - Video-IS Xvideos - iOS - UK</t>
  </si>
  <si>
    <t>CPA - creampie - Video-IS Xvideos - Android Other - Other Countries</t>
  </si>
  <si>
    <t>CPA - creampie - Video-IS Xvideos - Android Generic - Other Countries</t>
  </si>
  <si>
    <t>CPA - creampie - Video-IS Xvideos - MacOS - Other Countries</t>
  </si>
  <si>
    <t>CPA - creampie - Video-IS Xvideos - Windows 10 - Other Countries</t>
  </si>
  <si>
    <t>CPA - creampie - Video-IS Xvideos - iOS - Other Countries</t>
  </si>
  <si>
    <t>CPA - creampie - Video-IS Xvideos - Android Generic - AU</t>
  </si>
  <si>
    <t>CPA - creampie - Video-IS Xvideos - Windows 10 - AU</t>
  </si>
  <si>
    <t>CPA - creampie - Video-IS Xvideos - iOS - AU</t>
  </si>
  <si>
    <t>CPA - creampie - Video-IS Xvideos - Android Generic - CA</t>
  </si>
  <si>
    <t>CPA - creampie - Video-IS Xvideos - iOS - CA</t>
  </si>
  <si>
    <t>CPA - creampie - Video-IS Xvideos - Android Other - US</t>
  </si>
  <si>
    <t>CPA - creampie - Video-IS Xvideos - Android Generic - US</t>
  </si>
  <si>
    <t>CPA - creampie - Video-IS Xvideos - MacOS - US</t>
  </si>
  <si>
    <t>CPA - creampie - Video-IS Xvideos - Windows 10 - US</t>
  </si>
  <si>
    <t>CPA - creampie - Video-IS Xvideos - iOS - US</t>
  </si>
  <si>
    <t>CPA - creampie - Video-IS Xvideos - Android Generic - UK</t>
  </si>
  <si>
    <t>CPA - creampie - Video-IS Xvideos - iOS - UK</t>
  </si>
  <si>
    <t>CPA - edging - Video-IS Xvideos - Android Generic - Other Countries</t>
  </si>
  <si>
    <t>CPA - edging - Video-IS Xvideos - Android Generic - US</t>
  </si>
  <si>
    <t>CPA - edging - Video-IS Xvideos - iOS - US</t>
  </si>
  <si>
    <t>[Traffic Share - 50 %] - Fixed CPM - Xvideos Gay - Video-IS - Desktop- USA</t>
  </si>
  <si>
    <t>[Traffic Share - 10 %] - Fixed CPM - Xvideos Gay - Video-IS - Mobile - USA</t>
  </si>
  <si>
    <t>CPA - stepsister - Video-IS Xvideos - Android Other - Other Countries</t>
  </si>
  <si>
    <t>CPA - stepsister - Video-IS Xvideos - MacOS - Other Countries</t>
  </si>
  <si>
    <t>CPA - stepsister - Video-IS Xvideos - Windows 10 - Other Countries</t>
  </si>
  <si>
    <t>CPA - stepsister - Video-IS Xvideos - iOS - Other Countries</t>
  </si>
  <si>
    <t>CPA - stepsister - Video-IS Xvideos - Android Generic - AU</t>
  </si>
  <si>
    <t>CPA - stepsister - Video-IS Xvideos - Windows 10 - AU</t>
  </si>
  <si>
    <t>CPA - stepsister - Video-IS Xvideos - iOS - AU</t>
  </si>
  <si>
    <t>CPA - stepsister - Video-IS Xvideos - Android Generic - CA</t>
  </si>
  <si>
    <t>CPA - stepsister - Video-IS Xvideos - iOS - CA</t>
  </si>
  <si>
    <t>CPA - stepsister - Video-IS Xvideos - Android Other - US</t>
  </si>
  <si>
    <t>CPA - stepsister - Video-IS Xvideos - Android Generic - US</t>
  </si>
  <si>
    <t>CPA - stepsister - Video-IS Xvideos - MacOS - US</t>
  </si>
  <si>
    <t>CPA - stepsister - Video-IS Xvideos - Windows 10 - US</t>
  </si>
  <si>
    <t>CPA - stepsister - Video-IS Xvideos - iOS - US</t>
  </si>
  <si>
    <t>CPA - stepsister - Video-IS Xvideos - Android Generic - UK</t>
  </si>
  <si>
    <t>CPA - stepsister - Video-IS Xvideos - iOS - UK</t>
  </si>
  <si>
    <t>CPA - pov - Video-IS Xvideos - Android Other - Other Countries</t>
  </si>
  <si>
    <t>CPA - pov - Video-IS Xvideos - MacOS - Other Countries</t>
  </si>
  <si>
    <t>CPA - pov - Video-IS Xvideos - Windows 10 - Other Countries</t>
  </si>
  <si>
    <t>CPA - pov - Video-IS Xvideos - iOS - Other Countries</t>
  </si>
  <si>
    <t>CPA - pov - Video-IS Xvideos - Android Generic - AU</t>
  </si>
  <si>
    <t>CPA - pov - Video-IS Xvideos - MacOS - AU</t>
  </si>
  <si>
    <t>CPA - pov - Video-IS Xvideos - Windows 10 - AU</t>
  </si>
  <si>
    <t>CPA - pov - Video-IS Xvideos - Android Generic - CA</t>
  </si>
  <si>
    <t>CPA - pov - Video-IS Xvideos - MacOS - CA</t>
  </si>
  <si>
    <t>CPA - pov - Video-IS Xvideos - Windows 10 - CA</t>
  </si>
  <si>
    <t>CPA - pov - Video-IS Xvideos - iOS - CA</t>
  </si>
  <si>
    <t>CPA - pov - Video-IS Xvideos - Android Other - US</t>
  </si>
  <si>
    <t>CPA - pov - Video-IS Xvideos - Android Generic - US</t>
  </si>
  <si>
    <t>CPA - pov - Video-IS Xvideos - MacOS - US</t>
  </si>
  <si>
    <t>CPA - pov - Video-IS Xvideos - Windows 10 - US</t>
  </si>
  <si>
    <t>CPA - pov - Video-IS Xvideos - iOS - US</t>
  </si>
  <si>
    <t>CPA - pov - Video-IS Xvideos - iOS - UK</t>
  </si>
  <si>
    <t>CPA - threesome - Video-IS Xvideos - Android Other - Other Countries</t>
  </si>
  <si>
    <t>CPA - threesome - Video-IS Xvideos - Android Generic - Other Countries</t>
  </si>
  <si>
    <t>CPA - threesome - Video-IS Xvideos - MacOS - Other Countries</t>
  </si>
  <si>
    <t>CPA - threesome - Video-IS Xvideos - Windows 10 - Other Countries</t>
  </si>
  <si>
    <t>CPA - threesome - Video-IS Xvideos - iOS - Other Countries</t>
  </si>
  <si>
    <t>CPA - threesome - Video-IS Xvideos - Android Generic - AU</t>
  </si>
  <si>
    <t>CPA - threesome - Video-IS Xvideos - Windows 10 - AU</t>
  </si>
  <si>
    <t>CPA - threesome - Video-IS Xvideos - iOS - AU</t>
  </si>
  <si>
    <t>CPA - threesome - Video-IS Xvideos - Android Generic - CA</t>
  </si>
  <si>
    <t>CPA - threesome - Video-IS Xvideos - MacOS - CA</t>
  </si>
  <si>
    <t>CPA - threesome - Video-IS Xvideos - Windows 10 - CA</t>
  </si>
  <si>
    <t>CPA - threesome - Video-IS Xvideos - iOS - CA</t>
  </si>
  <si>
    <t>CPA - threesome - Video-IS Xvideos - Android Other - US</t>
  </si>
  <si>
    <t>CPA - threesome - Video-IS Xvideos - Android Generic - US</t>
  </si>
  <si>
    <t>CPA - threesome - Video-IS Xvideos - MacOS - US</t>
  </si>
  <si>
    <t>CPA - threesome - Video-IS Xvideos - Windows 10 - US</t>
  </si>
  <si>
    <t>CPA - threesome - Video-IS Xvideos - iOS - US</t>
  </si>
  <si>
    <t>CPA - threesome - Video-IS Xvideos - Android Generic - UK</t>
  </si>
  <si>
    <t>CPA - threesome - Video-IS Xvideos - iOS - UK</t>
  </si>
  <si>
    <t>CPA - Category: Latina - Video-IS Xvideos - Android Other - Other Countries</t>
  </si>
  <si>
    <t>CPA - Category: Latina - Video-IS Xvideos - MacOS - Other Countries</t>
  </si>
  <si>
    <t>CPA - Category: Latina - Video-IS Xvideos - Windows 10 - Other Countries</t>
  </si>
  <si>
    <t>CPA - Category: Latina - Video-IS Xvideos - iOS - Other Countries</t>
  </si>
  <si>
    <t>CPA - Category: Latina - Video-IS Xvideos - Android Generic - AU</t>
  </si>
  <si>
    <t>CPA - Category: Latina - Video-IS Xvideos - MacOS - AU</t>
  </si>
  <si>
    <t>CPA - Category: Latina - Video-IS Xvideos - Windows 10 - AU</t>
  </si>
  <si>
    <t>CPA - Category: Latina - Video-IS Xvideos - iOS - AU</t>
  </si>
  <si>
    <t>CPA - Category: Latina - Video-IS Xvideos - Android Generic - CA</t>
  </si>
  <si>
    <t>CPA - Category: Latina - Video-IS Xvideos - MacOS - CA</t>
  </si>
  <si>
    <t>CPA - Category: Latina - Video-IS Xvideos - Windows 10 - CA</t>
  </si>
  <si>
    <t>CPA - Category: Latina - Video-IS Xvideos - iOS - CA</t>
  </si>
  <si>
    <t>CPA - Category: Latina - Video-IS Xvideos - Android Generic - US</t>
  </si>
  <si>
    <t>CPA - Category: Latina - Video-IS Xvideos - MacOS - US</t>
  </si>
  <si>
    <t>CPA - Category: Latina - Video-IS Xvideos - Windows 10 - US</t>
  </si>
  <si>
    <t>CPA - Category: Latina - Video-IS Xvideos - iOS - US</t>
  </si>
  <si>
    <t>CPA - Category: Latina - Video-IS Xvideos - MacOS - UK</t>
  </si>
  <si>
    <t>CPA - Gay - Video-IS Xvideos - Mobile - Desktop - NZ</t>
  </si>
  <si>
    <t>CPA - Gay - Video-IS Xvideos - Mobile - Desktop - UK</t>
  </si>
  <si>
    <t>CPA - Gay - Video-IS Xvideos - Mobile - Desktop - Canada</t>
  </si>
  <si>
    <t>CPA - Gay - Video-IS Xvideos - Mobile - Desktop - Aus</t>
  </si>
  <si>
    <t>CPA - Gay - Video-IS Xvideos - Mobile - Desktop - USA</t>
  </si>
  <si>
    <t>CPA - Gay - Video-IS Xvideos - Mobile - NZ</t>
  </si>
  <si>
    <t>CPA - Gay - Video-IS Xvideos - Mobile - UK</t>
  </si>
  <si>
    <t>CPA - Gay - Video-IS Xvideos - Mobile - Canada</t>
  </si>
  <si>
    <t>CPA - Gay - Video-IS Xvideos - Mobile - Aus</t>
  </si>
  <si>
    <t>CPA - Gay - Video-IS Xvideos - Mobile - USA</t>
  </si>
  <si>
    <t>[Traffic Share - 50 %] - Fixed CPM - Hentai - Xvideos Hentai SBanner - Desktop - Tier1</t>
  </si>
  <si>
    <t>0. Fixed CPM - Headers</t>
  </si>
  <si>
    <t>Banner - 300x250</t>
  </si>
  <si>
    <t>CPA - moana - Video-IS Xvideos - iOS - USA</t>
  </si>
  <si>
    <t>CPA - elsa - Video-IS Xvideos - iOS - USA</t>
  </si>
  <si>
    <t>1b. Launch</t>
  </si>
  <si>
    <t>CPA - neko - Video-IS Xvideos - iOS - USA</t>
  </si>
  <si>
    <t>CPA - saber - Video-IS Xvideos - iOS - USA</t>
  </si>
  <si>
    <t>CPA - link - Video-IS Xvideos - iOS - USA</t>
  </si>
  <si>
    <t>CPA - zelda - Video-IS Xvideos - iOS - USA</t>
  </si>
  <si>
    <t>CPA - jinx - Video-IS Xvideos - iOS - USA</t>
  </si>
  <si>
    <t>CPA - overwatch - Video-IS Xvideos - iOS - USA</t>
  </si>
  <si>
    <t>CPA - bleach - Video-IS Xvideos - iOS - USA</t>
  </si>
  <si>
    <t>CPA - power - Video-IS Xvideos - iOS - USA</t>
  </si>
  <si>
    <t>CPA - nami - Video-IS Xvideos - iOS - USA</t>
  </si>
  <si>
    <t>CPA - misty - Video-IS Xvideos - iOS - USA</t>
  </si>
  <si>
    <t>1c. Scaling</t>
  </si>
  <si>
    <t>CPA - mummy - Video-IS Xvideos - iOS - USA</t>
  </si>
  <si>
    <t>CPA - zombie - Video-IS Xvideos - iOS - USA</t>
  </si>
  <si>
    <t>CPA - vampire - Video-IS Xvideos - iOS - USA</t>
  </si>
  <si>
    <t>CPA - succubus - Video-IS Xvideos - iOS - USA</t>
  </si>
  <si>
    <t>CPA - angel - Video-IS Xvideos - iOS - USA</t>
  </si>
  <si>
    <t>CPA - demon - Video-IS Xvideos - iOS - USA</t>
  </si>
  <si>
    <t>CPA - nun - Video-IS Xvideos - iOS - USA</t>
  </si>
  <si>
    <t>CPA - witch - Video-IS Xvideos - iOS - USA</t>
  </si>
  <si>
    <t>CPA - alien - Video-IS Xvideos - iOS - USA</t>
  </si>
  <si>
    <t>CPA - monster - Video-IS Xvideos - iOS - USA</t>
  </si>
  <si>
    <t>CPA - toilet - Video-IS Xvideos - iOS - USA</t>
  </si>
  <si>
    <t>CPA - mannequin - Video-IS Xvideos - iOS - USA</t>
  </si>
  <si>
    <t>CPA - doll - Video-IS Xvideos - iOS - USA</t>
  </si>
  <si>
    <t>CPA - slime - Video-IS Xvideos - iOS - USA</t>
  </si>
  <si>
    <t>CPA - mask - Video-IS Xvideos - iOS - USA</t>
  </si>
  <si>
    <t>CPA - clown - Video-IS Xvideos - iOS - USA</t>
  </si>
  <si>
    <t>CPA - robot - Video-IS Xvideos - iOS - USA</t>
  </si>
  <si>
    <t>CPA - dental - Video-IS Xvideos - iOS - USA</t>
  </si>
  <si>
    <t>CPA - medical - Video-IS Xvideos - iOS - USA</t>
  </si>
  <si>
    <t>CPA - giant - Video-IS Xvideos - iOS - USA</t>
  </si>
  <si>
    <t>CPA - enema - Video-IS Xvideos - iOS - USA</t>
  </si>
  <si>
    <t>CPA - pissing - Video-IS Xvideos - iOS - USA</t>
  </si>
  <si>
    <t>CPA - da - Video-IS Xvideos - iOS - USA</t>
  </si>
  <si>
    <t>CPA - dp - Video-IS Xvideos - iOS - USA</t>
  </si>
  <si>
    <t>CPA - triple - Video-IS Xvideos - iOS - USA</t>
  </si>
  <si>
    <t>CPA - candle - Video-IS Xvideos - iOS - USA</t>
  </si>
  <si>
    <t>CPA - whipping - Video-IS Xvideos - iOS - USA</t>
  </si>
  <si>
    <t>CPA - hairy - Video-IS Xvideos - iOS - USA</t>
  </si>
  <si>
    <t>CPA - belly - Video-IS Xvideos - iOS - USA</t>
  </si>
  <si>
    <t>CPA - armpit - Video-IS Xvideos - iOS - USA</t>
  </si>
  <si>
    <t>CPA - rimjob - Video-IS Xvideos - iOS - USA</t>
  </si>
  <si>
    <t>CPA - prostate - Video-IS Xvideos - iOS - USA</t>
  </si>
  <si>
    <t>CPA - denial - Video-IS Xvideos - iOS - USA</t>
  </si>
  <si>
    <t>CPA - edging - Video-IS Xvideos - iOS - USA</t>
  </si>
  <si>
    <t>CPA - maledom - Video-IS Xvideos - iOS - USA</t>
  </si>
  <si>
    <t>CPA - femdom - Video-IS Xvideos - iOS - USA</t>
  </si>
  <si>
    <t>CPA - tickling - Video-IS Xvideos - iOS - USA</t>
  </si>
  <si>
    <t>CPA - milking - Video-IS Xvideos - iOS - USA</t>
  </si>
  <si>
    <t>CPA - lactation - Video-IS Xvideos - iOS - USA</t>
  </si>
  <si>
    <t>CPA - pregnant - Video-IS Xvideos - iOS - USA</t>
  </si>
  <si>
    <t>CPA - ageplay - Video-IS Xvideos - iOS - USA</t>
  </si>
  <si>
    <t>CPA - diaper - Video-IS Xvideos - iOS - USA</t>
  </si>
  <si>
    <t>CPA - master - Video-IS Xvideos - iOS - USA</t>
  </si>
  <si>
    <t>CPA - slave - Video-IS Xvideos - iOS - USA</t>
  </si>
  <si>
    <t>CPA - rope - Video-IS Xvideos - iOS - USA</t>
  </si>
  <si>
    <t>CPA - bondage - Video-IS Xvideos - iOS - USA</t>
  </si>
  <si>
    <t>CPA - shibari - Video-IS Xvideos - iOS - USA</t>
  </si>
  <si>
    <t>CPA - vore - Video-IS Xvideos - iOS - USA</t>
  </si>
  <si>
    <t>CPA - giantess - Video-IS Xvideos - iOS - USA</t>
  </si>
  <si>
    <t>CPA - machine - Video-IS Xvideos - iOS - USA</t>
  </si>
  <si>
    <t>CPA - gaping - Video-IS Xvideos - iOS - USA</t>
  </si>
  <si>
    <t>CPA - trampling - Video-IS Xvideos - iOS - USA</t>
  </si>
  <si>
    <t>CPA - facesitting - Video-IS Xvideos - iOS - USA</t>
  </si>
  <si>
    <t>CPA - spanking - Video-IS Xvideos - iOS - USA</t>
  </si>
  <si>
    <t>CPA - fisting - Video-IS Xvideos - iOS - USA</t>
  </si>
  <si>
    <t>CPA - glasses - Video-IS Xvideos - iOS - USA</t>
  </si>
  <si>
    <t>CPA - heels - Video-IS Xvideos - iOS - USA</t>
  </si>
  <si>
    <t>CPA - stockings - Video-IS Xvideos - iOS - USA</t>
  </si>
  <si>
    <t>CPA - uniform - Video-IS Xvideos - iOS - USA</t>
  </si>
  <si>
    <t>CPA - leather - Video-IS Xvideos - iOS - USA</t>
  </si>
  <si>
    <t>CPA - latex - Video-IS Xvideos - iOS - USA</t>
  </si>
  <si>
    <t>CPA - feet - Video-IS Xvideos - iOS - USA</t>
  </si>
  <si>
    <t>CPA - spanish - Video-IS Xvideos - iOS - USA</t>
  </si>
  <si>
    <t>CPA - italian - Video-IS Xvideos - iOS - USA</t>
  </si>
  <si>
    <t>CPA - french - Video-IS Xvideos - iOS - USA</t>
  </si>
  <si>
    <t>Completed</t>
  </si>
  <si>
    <t>CPA - german - Video-IS Xvideos - iOS - USA</t>
  </si>
  <si>
    <t>CPA - russian - Video-IS Xvideos - iOS - USA</t>
  </si>
  <si>
    <t>CPA - thailand - Video-IS Xvideos - iOS - USA</t>
  </si>
  <si>
    <t>CPA - korean - Video-IS Xvideos - iOS - USA</t>
  </si>
  <si>
    <t>CPA - shower - Video-IS Xvideos - iOS - USA</t>
  </si>
  <si>
    <t>CPA - secretary - Video-IS Xvideos - iOS - USA</t>
  </si>
  <si>
    <t>CPA - office - Video-IS Xvideos - iOS - USA</t>
  </si>
  <si>
    <t>CPA - hotel - Video-IS Xvideos - iOS - USA</t>
  </si>
  <si>
    <t>CPA - tattoo - Video-IS Xvideos - iOS - USA</t>
  </si>
  <si>
    <t>CPA - pantyhose - Video-IS Xvideos - iOS - USA</t>
  </si>
  <si>
    <t>CPA - lingerie - Video-IS Xvideos - iOS - USA</t>
  </si>
  <si>
    <t>CPA - club - Video-IS Xvideos - iOS - USA</t>
  </si>
  <si>
    <t>CPA - maid - Video-IS Xvideos - iOS - USA</t>
  </si>
  <si>
    <t>CPA - roleplay - Video-IS Xvideos - iOS - USA</t>
  </si>
  <si>
    <t>CPA - ahegao - Video-IS Xvideos - iOS - USA</t>
  </si>
  <si>
    <t>CPA - casting - Video-IS Xvideos - iOS - USA</t>
  </si>
  <si>
    <t>CPA - stripper - Video-IS Xvideos - iOS - USA</t>
  </si>
  <si>
    <t>CPA - public - Video-IS Xvideos - iOS - USA</t>
  </si>
  <si>
    <t>CPA - straight - Video-IS Xvideos - iOS - USA</t>
  </si>
  <si>
    <t>CPA - orgy - Video-IS Xvideos - iOS - USA</t>
  </si>
  <si>
    <t>CPA - petite - Video-IS Xvideos - iOS - USA</t>
  </si>
  <si>
    <t>CPA - cuckold - Video-IS Xvideos - iOS - USA</t>
  </si>
  <si>
    <t>CPA - stepsister - Video-IS Xvideos - iOS - USA</t>
  </si>
  <si>
    <t>CPA - emo - Video-IS Xvideos - iOS - USA</t>
  </si>
  <si>
    <t>CPA - goth - Video-IS Xvideos - iOS - USA</t>
  </si>
  <si>
    <t>CPA - thick - Video-IS Xvideos - iOS - USA</t>
  </si>
  <si>
    <t>CPA - college - Video-IS Xvideos - iOS - USA</t>
  </si>
  <si>
    <t>CPA - interracial - Video-IS Xvideos - iOS - USA</t>
  </si>
  <si>
    <t>CPA - bdsm - Video-IS Xvideos - iOS - USA</t>
  </si>
  <si>
    <t>CPA - fetish - Video-IS Xvideos - iOS - USA</t>
  </si>
  <si>
    <t>CPA - mature - Video-IS Xvideos - iOS - USA</t>
  </si>
  <si>
    <t>CPA - redhead - Video-IS Xvideos - iOS - USA</t>
  </si>
  <si>
    <t>CPA - nurse - Video-IS Xvideos - iOS - USA</t>
  </si>
  <si>
    <t>CPA - teacher - Video-IS Xvideos - iOS - USA</t>
  </si>
  <si>
    <t>CPA - bbw - Video-IS Xvideos - iOS - USA</t>
  </si>
  <si>
    <t>CPA - squirt - Video-IS Xvideos - iOS - USA</t>
  </si>
  <si>
    <t>CPA - pov - Video-IS Xvideos - iOS - USA</t>
  </si>
  <si>
    <t>CPA - wife - Video-IS Xvideos - iOS - USA</t>
  </si>
  <si>
    <t>CPA - bbc - Video-IS Xvideos - iOS - USA</t>
  </si>
  <si>
    <t>CPA - gangbang - Video-IS Xvideos - iOS - USA</t>
  </si>
  <si>
    <t>CPA - trans - Video-IS Xvideos - iOS - USA</t>
  </si>
  <si>
    <t>CPA - ebony - Video-IS Xvideos - iOS - USA</t>
  </si>
  <si>
    <t>CPA - massage - Video-IS Xvideos - iOS - USA</t>
  </si>
  <si>
    <t>CPA - threesome - Video-IS Xvideos - iOS - USA</t>
  </si>
  <si>
    <t>CPA - creampie - Video-IS Xvideos - iOS - USA</t>
  </si>
  <si>
    <t>CPA - stepmom - Video-IS Xvideos - iOS - USA</t>
  </si>
  <si>
    <t>CPA - asian - Video-IS Xvideos - iOS - USA</t>
  </si>
  <si>
    <t>CPA - japanese - Video-IS Xvideos - iOS - USA</t>
  </si>
  <si>
    <t>CPA - lesbian - Video-IS Xvideos - iOS - USA</t>
  </si>
  <si>
    <t>CPA - pinay - Video-IS Xvideos - iOS - USA</t>
  </si>
  <si>
    <t>CPA - milf - Video-IS Xvideos - iOS - USA</t>
  </si>
  <si>
    <t>CPA - Category: Transexual/Shemale - Video-IS Xvideos - Windows 10 - USA</t>
  </si>
  <si>
    <t>1c. Scaling - Trans</t>
  </si>
  <si>
    <t>CPA - AI - Video-IS Xvideos - iOS - USA</t>
  </si>
  <si>
    <t>CPA - Findom - Video-IS Xvideos - iOS - USA</t>
  </si>
  <si>
    <t>CPA - Cosplay - Video-IS Xvideos - iOS - USA</t>
  </si>
  <si>
    <t>CPA - JOI - Video-IS Xvideos - iOS - USA</t>
  </si>
  <si>
    <t>CPA - Vtuber - Video-IS Xvideos - iOS - USA</t>
  </si>
  <si>
    <t>CPA - Sexdoll - Video-IS Xvideos - iOS - USA</t>
  </si>
  <si>
    <t>CPA - Disney - Video-IS Xvideos - iOS - USA</t>
  </si>
  <si>
    <t>CPA - Marvel - Video-IS Xvideos - iOS - USA</t>
  </si>
  <si>
    <t>CPA - Pegging - Video-IS Xvideos - iOS - USA</t>
  </si>
  <si>
    <t>CPA - Handjob - Video-IS Xvideos - iOS - USA</t>
  </si>
  <si>
    <t>CPA - Cowgirl - Video-IS Xvideos - iOS - USA</t>
  </si>
  <si>
    <t>CPA - Fantasy - Video-IS Xvideos - iOS - USA</t>
  </si>
  <si>
    <t>CPA - Category: Japanese - Video-IS Xvideos - iOS - USA</t>
  </si>
  <si>
    <t>CPA - Category: Voyeur - Video-IS Xvideos - iOS - USA</t>
  </si>
  <si>
    <t>CPA - Category: Transexual/Shemale - Video-IS Xvideos - iOS - USA</t>
  </si>
  <si>
    <t>CPA - Category: Teens (18+) - Video-IS Xvideos - iOS - USA</t>
  </si>
  <si>
    <t>CPA - Category: Squirting - Video-IS Xvideos - iOS - USA</t>
  </si>
  <si>
    <t>CPA - Category: Lesbians - Video-IS Xvideos - iOS - USA</t>
  </si>
  <si>
    <t>CPA - Category: Latina - Video-IS Xvideos - iOS - USA</t>
  </si>
  <si>
    <t>CPA - Category: Ebony - Video-IS Xvideos - iOS - USA</t>
  </si>
  <si>
    <t>CPA - Category: BDSM - Video-IS Xvideos - iOS - USA</t>
  </si>
  <si>
    <t>CPA - Category: Asian - Video-IS Xvideos - iOS - USA</t>
  </si>
  <si>
    <t>CPA - Category: Anal - Video-IS Xvideos - iOS - USA</t>
  </si>
  <si>
    <t>CPA - Category: Cartoons/Hentai - Video-IS Xvideos - Android Other - EGY</t>
  </si>
  <si>
    <t>CPA - Category: Cartoons/Hentai - Video-IS Xvideos - Android Other - MEX</t>
  </si>
  <si>
    <t>CPA - Category: Cartoons/Hentai - Video-IS Xvideos - Android Other - JPN</t>
  </si>
  <si>
    <t>CPA - Category: Cartoons/Hentai - Video-IS Xvideos - Android Other - NLD</t>
  </si>
  <si>
    <t>CPA - Category: Cartoons/Hentai - Video-IS Xvideos - Android Other - NOR</t>
  </si>
  <si>
    <t>CPA - Category: Cartoons/Hentai - Video-IS Xvideos - Android Other - NZL</t>
  </si>
  <si>
    <t>CPA - Category: Cartoons/Hentai - Video-IS Xvideos - Android Other - AUS</t>
  </si>
  <si>
    <t>CPA - Category: Cartoons/Hentai - Video-IS Xvideos - Android Other - USA</t>
  </si>
  <si>
    <t>CPA - Category: Cartoons/Hentai - Video-IS Xvideos - Android Generic - EGY</t>
  </si>
  <si>
    <t>CPA - Category: Cartoons/Hentai - Video-IS Xvideos - Android Generic - MEX</t>
  </si>
  <si>
    <t>CPA - Category: Cartoons/Hentai - Video-IS Xvideos - Android Generic - JPN</t>
  </si>
  <si>
    <t>CPA - Category: Cartoons/Hentai - Video-IS Xvideos - Android Generic - NLD</t>
  </si>
  <si>
    <t>CPA - Category: Cartoons/Hentai - Video-IS Xvideos - Android Generic - NOR</t>
  </si>
  <si>
    <t>CPA - Category: Cartoons/Hentai - Video-IS Xvideos - Android Generic - NZL</t>
  </si>
  <si>
    <t>CPA - Category: Cartoons/Hentai - Video-IS Xvideos - Android Generic - AUS</t>
  </si>
  <si>
    <t>CPA - Category: Cartoons/Hentai - Video-IS Xvideos - Android Generic - USA</t>
  </si>
  <si>
    <t>CPA - Category: Cartoons/Hentai - Video-IS Xvideos - Windows 11 - NLD</t>
  </si>
  <si>
    <t>CPA - Category: Cartoons/Hentai - Video-IS Xvideos - Windows 11 - USA</t>
  </si>
  <si>
    <t>CPA - Category: Cartoons/Hentai - Video-IS Xvideos - MacOS - EGY</t>
  </si>
  <si>
    <t>CPA - Category: Cartoons/Hentai - Video-IS Xvideos - MacOS - MEX</t>
  </si>
  <si>
    <t>CPA - Category: Cartoons/Hentai - Video-IS Xvideos - MacOS - JPN</t>
  </si>
  <si>
    <t>CPA - Category: Cartoons/Hentai - Video-IS Xvideos - MacOS - NLD</t>
  </si>
  <si>
    <t>CPA - Category: Cartoons/Hentai - Video-IS Xvideos - MacOS - NOR</t>
  </si>
  <si>
    <t>CPA - Category: Cartoons/Hentai - Video-IS Xvideos - MacOS - NZL</t>
  </si>
  <si>
    <t>CPA - Category: Cartoons/Hentai - Video-IS Xvideos - MacOS - AUS</t>
  </si>
  <si>
    <t>CPA - Category: Cartoons/Hentai - Video-IS Xvideos - MacOS - USA</t>
  </si>
  <si>
    <t>CPA - Category: Cartoons/Hentai - Video-IS Xvideos - Windows 10 - EGY</t>
  </si>
  <si>
    <t>CPA - Category: Cartoons/Hentai - Video-IS Xvideos - Windows 10 - MEX</t>
  </si>
  <si>
    <t>CPA - Category: Cartoons/Hentai - Video-IS Xvideos - Windows 10 - JPN</t>
  </si>
  <si>
    <t>CPA - Category: Cartoons/Hentai - Video-IS Xvideos - Windows 10 - NLD</t>
  </si>
  <si>
    <t>CPA - Category: Cartoons/Hentai - Video-IS Xvideos - Windows 10 - NOR</t>
  </si>
  <si>
    <t>CPA - Category: Cartoons/Hentai - Video-IS Xvideos - Windows 10 - NZL</t>
  </si>
  <si>
    <t>CPA - Category: Cartoons/Hentai - Video-IS Xvideos - Windows 10 - AUS</t>
  </si>
  <si>
    <t>CPA - Category: Cartoons/Hentai - Video-IS Xvideos - Windows 10 - USA</t>
  </si>
  <si>
    <t>CPA - Category: Cartoons/Hentai - Video-IS Xvideos - iOS - EGY</t>
  </si>
  <si>
    <t>CPA - Category: Cartoons/Hentai - Video-IS Xvideos - iOS - MEX</t>
  </si>
  <si>
    <t>CPA - Category: Cartoons/Hentai - Video-IS Xvideos - iOS - JPN</t>
  </si>
  <si>
    <t>CPA - Category: Cartoons/Hentai - Video-IS Xvideos - iOS - NLD</t>
  </si>
  <si>
    <t>CPA - Category: Cartoons/Hentai - Video-IS Xvideos - iOS - NOR</t>
  </si>
  <si>
    <t>CPA - Category: Cartoons/Hentai - Video-IS Xvideos - iOS - NZL</t>
  </si>
  <si>
    <t>CPA - Category: Cartoons/Hentai - Video-IS Xvideos - iOS - AUS</t>
  </si>
  <si>
    <t>[BASE] CPA - General - Video-IS Xvideos - [Device] - [Region]</t>
  </si>
  <si>
    <t>0. Base Campaigns</t>
  </si>
  <si>
    <t>[Traffic Share - 80 %] - FixedCPM - xvideos general - NativeVideo - Mobile - T1</t>
  </si>
  <si>
    <t>Native Ad (Native Ads)</t>
  </si>
  <si>
    <t>[Traffic Share - 90 %] - CPA - Xvideos Hentai Header - NativeVideo - Mobile - USAUCAUK</t>
  </si>
  <si>
    <t>[Traffic Share - 90 %] - CPA - Xvideos Hentai In-Content - NativeVideo - Mobile - USAUCAUK</t>
  </si>
  <si>
    <t>CPA - Xvideos Hentai Footer - NativeVideo - Mobile - USAUCAUK</t>
  </si>
  <si>
    <t>[Traffic Share - 85 %] - CPAreset - Xvideos Trans - Video - Mobile - CA</t>
  </si>
  <si>
    <t>0. Fixed CPM - Trans</t>
  </si>
  <si>
    <t>[Traffic Share - 85 %] - CPAreset - Xvideos Trans - Video - Mobile - UK</t>
  </si>
  <si>
    <t>[Traffic Share - 12 %] - CPAreset - Xvideos Trans - Video - Mobile - USA</t>
  </si>
  <si>
    <t>[Traffic Share - 20 %] - CPA - Xvideos Blowjobs - Video-IS - Mobile - UK AU CA</t>
  </si>
  <si>
    <t>[Traffic Share - 25 %] - CPA - Xvideos Blowjobs - Video-IS - Mobile - USA</t>
  </si>
  <si>
    <t>CPA - Xvideos MILF - Video-IS - Mobile - UK AU CA</t>
  </si>
  <si>
    <t>[Traffic Share - 25 %] - CPA - Xvideos MILF - Video-IS - Mobile - USA</t>
  </si>
  <si>
    <t>[Traffic Share - 25 %] - CPA - Xvideos Big Tits - Video-IS - Mobile - UK AU CA</t>
  </si>
  <si>
    <t>[Traffic Share - 30 %] - CPA - Xvideos Big Tits - Video-IS - Mobile - USA</t>
  </si>
  <si>
    <t>[Traffic Share - 20 %] - CPA - Xvideos Japanese - Video-IS - Mobile - UK AU CA</t>
  </si>
  <si>
    <t>[Traffic Share - 20 %] - CPA - Xvideos Japanese - Video-IS - Mobile - USA</t>
  </si>
  <si>
    <t>Name Fixe</t>
  </si>
  <si>
    <t>Row Labels</t>
  </si>
  <si>
    <t>ageplay</t>
  </si>
  <si>
    <t>ahegao</t>
  </si>
  <si>
    <t>AI</t>
  </si>
  <si>
    <t>alien</t>
  </si>
  <si>
    <t>angel</t>
  </si>
  <si>
    <t>armpit</t>
  </si>
  <si>
    <t>asian</t>
  </si>
  <si>
    <t>bbc</t>
  </si>
  <si>
    <t>bbw</t>
  </si>
  <si>
    <t>bdsm</t>
  </si>
  <si>
    <t>belly</t>
  </si>
  <si>
    <t>bleach</t>
  </si>
  <si>
    <t>bondage</t>
  </si>
  <si>
    <t>candle</t>
  </si>
  <si>
    <t>casting</t>
  </si>
  <si>
    <t>Category: Anal</t>
  </si>
  <si>
    <t>Category: Asian</t>
  </si>
  <si>
    <t>Category: BDSM</t>
  </si>
  <si>
    <t>Category: Cartoons/Hentai</t>
  </si>
  <si>
    <t>Category: Ebony</t>
  </si>
  <si>
    <t>Category: Japanese</t>
  </si>
  <si>
    <t>Category: Latina</t>
  </si>
  <si>
    <t>Category: Lesbians</t>
  </si>
  <si>
    <t>Category: Squirting</t>
  </si>
  <si>
    <t>Category: Teens (18+)</t>
  </si>
  <si>
    <t>Category: Transexual/Shemale</t>
  </si>
  <si>
    <t>Category: Voyeur</t>
  </si>
  <si>
    <t>clown</t>
  </si>
  <si>
    <t>club</t>
  </si>
  <si>
    <t>college</t>
  </si>
  <si>
    <t>Cosplay</t>
  </si>
  <si>
    <t>Cowgirl</t>
  </si>
  <si>
    <t>creampie</t>
  </si>
  <si>
    <t>cuckold</t>
  </si>
  <si>
    <t>da</t>
  </si>
  <si>
    <t>demon</t>
  </si>
  <si>
    <t>denial</t>
  </si>
  <si>
    <t>dental</t>
  </si>
  <si>
    <t>diaper</t>
  </si>
  <si>
    <t>Disney</t>
  </si>
  <si>
    <t>doll</t>
  </si>
  <si>
    <t>dp</t>
  </si>
  <si>
    <t>ebony</t>
  </si>
  <si>
    <t>edging</t>
  </si>
  <si>
    <t>elsa</t>
  </si>
  <si>
    <t>emo</t>
  </si>
  <si>
    <t>enema</t>
  </si>
  <si>
    <t>facesitting</t>
  </si>
  <si>
    <t>Fantasy</t>
  </si>
  <si>
    <t>feet</t>
  </si>
  <si>
    <t>femdom</t>
  </si>
  <si>
    <t>fetish</t>
  </si>
  <si>
    <t>Findom</t>
  </si>
  <si>
    <t>fisting</t>
  </si>
  <si>
    <t>french</t>
  </si>
  <si>
    <t>gangbang</t>
  </si>
  <si>
    <t>gaping</t>
  </si>
  <si>
    <t>Gay</t>
  </si>
  <si>
    <t>General</t>
  </si>
  <si>
    <t>german</t>
  </si>
  <si>
    <t>giant</t>
  </si>
  <si>
    <t>giantess</t>
  </si>
  <si>
    <t>glasses</t>
  </si>
  <si>
    <t>goth</t>
  </si>
  <si>
    <t>hairy</t>
  </si>
  <si>
    <t>Handjob</t>
  </si>
  <si>
    <t>heels</t>
  </si>
  <si>
    <t>hotel</t>
  </si>
  <si>
    <t>interracial</t>
  </si>
  <si>
    <t>italian</t>
  </si>
  <si>
    <t>japanese</t>
  </si>
  <si>
    <t>jinx</t>
  </si>
  <si>
    <t>JOI</t>
  </si>
  <si>
    <t>korean</t>
  </si>
  <si>
    <t>lactation</t>
  </si>
  <si>
    <t>latex</t>
  </si>
  <si>
    <t>leather</t>
  </si>
  <si>
    <t>lesbian</t>
  </si>
  <si>
    <t>lingerie</t>
  </si>
  <si>
    <t>link</t>
  </si>
  <si>
    <t>machine</t>
  </si>
  <si>
    <t>maid</t>
  </si>
  <si>
    <t>maledom</t>
  </si>
  <si>
    <t>mannequin</t>
  </si>
  <si>
    <t>Marvel</t>
  </si>
  <si>
    <t>mask</t>
  </si>
  <si>
    <t>massage</t>
  </si>
  <si>
    <t>master</t>
  </si>
  <si>
    <t>mature</t>
  </si>
  <si>
    <t>medical</t>
  </si>
  <si>
    <t>milf</t>
  </si>
  <si>
    <t>milking</t>
  </si>
  <si>
    <t>misty</t>
  </si>
  <si>
    <t>moana</t>
  </si>
  <si>
    <t>monster</t>
  </si>
  <si>
    <t>mummy</t>
  </si>
  <si>
    <t>nami</t>
  </si>
  <si>
    <t>neko</t>
  </si>
  <si>
    <t>nun</t>
  </si>
  <si>
    <t>nurse</t>
  </si>
  <si>
    <t>office</t>
  </si>
  <si>
    <t>orgy</t>
  </si>
  <si>
    <t>overwatch</t>
  </si>
  <si>
    <t>pantyhose</t>
  </si>
  <si>
    <t>Pegging</t>
  </si>
  <si>
    <t>petite</t>
  </si>
  <si>
    <t>pinay</t>
  </si>
  <si>
    <t>pissing</t>
  </si>
  <si>
    <t>pov</t>
  </si>
  <si>
    <t>power</t>
  </si>
  <si>
    <t>pregnant</t>
  </si>
  <si>
    <t>prostate</t>
  </si>
  <si>
    <t>public</t>
  </si>
  <si>
    <t>redhead</t>
  </si>
  <si>
    <t>rimjob</t>
  </si>
  <si>
    <t>robot</t>
  </si>
  <si>
    <t>roleplay</t>
  </si>
  <si>
    <t>rope</t>
  </si>
  <si>
    <t>RT TEST</t>
  </si>
  <si>
    <t>russian</t>
  </si>
  <si>
    <t>saber</t>
  </si>
  <si>
    <t>secretary</t>
  </si>
  <si>
    <t>Sexdoll</t>
  </si>
  <si>
    <t>shibari</t>
  </si>
  <si>
    <t>shower</t>
  </si>
  <si>
    <t>slave</t>
  </si>
  <si>
    <t>slime</t>
  </si>
  <si>
    <t>spanish</t>
  </si>
  <si>
    <t>spanking</t>
  </si>
  <si>
    <t>squirt</t>
  </si>
  <si>
    <t>stepmom</t>
  </si>
  <si>
    <t>stepsister</t>
  </si>
  <si>
    <t>stockings</t>
  </si>
  <si>
    <t>straight</t>
  </si>
  <si>
    <t>stripper</t>
  </si>
  <si>
    <t>succubus</t>
  </si>
  <si>
    <t>tattoo</t>
  </si>
  <si>
    <t>teacher</t>
  </si>
  <si>
    <t>thailand</t>
  </si>
  <si>
    <t>thick</t>
  </si>
  <si>
    <t>threesome</t>
  </si>
  <si>
    <t>tickling</t>
  </si>
  <si>
    <t>toilet</t>
  </si>
  <si>
    <t>trampling</t>
  </si>
  <si>
    <t>trans</t>
  </si>
  <si>
    <t>triple</t>
  </si>
  <si>
    <t>uniform</t>
  </si>
  <si>
    <t>vampire</t>
  </si>
  <si>
    <t>vore</t>
  </si>
  <si>
    <t>Vtuber</t>
  </si>
  <si>
    <t>whipping</t>
  </si>
  <si>
    <t>wife</t>
  </si>
  <si>
    <t>witch</t>
  </si>
  <si>
    <t>Xvideos Anal</t>
  </si>
  <si>
    <t>Xvideos Hentai</t>
  </si>
  <si>
    <t>Xvideos Hentai Footer</t>
  </si>
  <si>
    <t>Xvideos MILF</t>
  </si>
  <si>
    <t>zelda</t>
  </si>
  <si>
    <t>zombie</t>
  </si>
  <si>
    <t>(blank)</t>
  </si>
  <si>
    <t>Grand Total</t>
  </si>
  <si>
    <t>Sum of Cost</t>
  </si>
  <si>
    <t>Conv</t>
  </si>
  <si>
    <t>keyword</t>
  </si>
  <si>
    <t>Fantasy, Fantasy sex, Fantasy encounter, Fantasy lovers, Fantasy relationship, Fantasy adventure, Fantasy world, Fantasy heroine, Fantasy romance, Fantasy quest, Fantasy magic, Fantasy hero</t>
  </si>
  <si>
    <t>Cowgirl, Cow girl, POV cowgirl, Cowgirl sex, Cowgirl fantasy, Cowgirl position, Cowgirl encounter, Cowgirl lovers, Cowgirl relationship, Cowgirl ride, Cowgirl style, Cowgirl pleasure</t>
  </si>
  <si>
    <t>Handjob, Hand job, Handjob fantasy, Handjob encounter, Handjob lovers, Handjob relationship, Handjob technique, Handjob pleasure, Handjob tips, Handjob guide, Handjob training</t>
  </si>
  <si>
    <t>Pegging, Pegging fantasy, Pegging encounter, Pegging lovers, Pegging relationship, Pegging pleasure, Pegging technique, Pegging tips, Pegging guide, Pegging training, Pegging experience</t>
  </si>
  <si>
    <t>Marvel, Black Widow, Captain Marvel, Scarlet Witch, Marvel sex, Marvel fantasy, Marvel encounter, Marvel lovers, Marvel relationship, Marvel superhero, Marvel comic, Marvel movie</t>
  </si>
  <si>
    <t>Disney, Ariel, Belle, Jasmine, Disney sex, Disney fantasy, Disney encounter, Disney lovers, Disney relationship, Disney princess, Disney character, Disney movie</t>
  </si>
  <si>
    <t>Sexdoll, Sex doll, Sex doll fantasy, Sex doll encounter, Sex doll lovers, Sex doll relationship, Sex doll pleasure, Sex doll experience, Sex doll companion, Sex doll owner, Sex doll care, Sex doll shopping</t>
  </si>
  <si>
    <t>Free use, Free use sex, Free use fantasy, Free use encounter, Free use lovers, Free use relationship, Free use pleasure, Free use experience, Free use content, Free use platform, Free use access, Free use membership</t>
  </si>
  <si>
    <t>Vtuber, Vtuber sex, Vtuber fantasy, Vtuber encounter, Vtuber lovers, Vtuber relationship, Vtuber pleasure, Vtuber experience, Vtuber stream, Vtuber community, Vtuber fan, Vtuber content</t>
  </si>
  <si>
    <t>JOI, JERK off instructions, Jerk Off Instructions, JOI sex, JOI fantasy, JOI encounter, JOI lovers, JOI relationship, JOI pleasure, JOI experience, JOI community, JOI fan, JOI content, JOI event</t>
  </si>
  <si>
    <t>Furry, Furry sex, Furry fantasy, Furry encounter, Furry lovers, Furry relationship, Furry pleasure, Furry experience, Furry character, Furry community, Furry fan, Furry content</t>
  </si>
  <si>
    <t>Cosplay, Cosplay sex, Cosplay fantasy, Cosplay encounter, Cosplay lovers, Cosplay relationship, Cosplay pleasure, Cosplay experience, Cosplay costume, Cosplay convention, Cosplay character, Cosplay community</t>
  </si>
  <si>
    <t>Findom, Findom sex, Findom fantasy, Findom encounter, Findom lovers, Findom relationship, Findom pleasure, Findom experience, Findom community, Findom fan, Findom content, Findom event</t>
  </si>
  <si>
    <t>AI, AI sex, AI fantasy, AI encounter, AI lovers, AI relationship, AI pleasure, AI experience, AI technology, AI assistant, AI companion, AI future</t>
  </si>
  <si>
    <t>hentai, hentai porn, free hentai, hentai sex, uncensored hentai, xxx hentai, hentai video, hentai streaming, hentai animation, 3d hentai, japanese hentai, cartoon hentai</t>
  </si>
  <si>
    <t>milf, milf porn, sexy milf, hot milf, milf video, milf sex, mature milf, married milf, busty milf, milf xxx, milf fuck, milf clips</t>
  </si>
  <si>
    <t>pinay, pinay porn, sexy pinay, pinay sex, hot pinay, filipina porn, filipina sex, pinay video, pinay amateur, filipina milf, filipina xxx, pinay scandal</t>
  </si>
  <si>
    <t>lesbian, lesbian porn, hot lesbians, lesbian sex, girl on girl, lesbian video, lesbian kiss, lesbian pussy licking, ebony lesbian, asian lesbian, lesbian hardcore, lesbian amateur</t>
  </si>
  <si>
    <t>anal, anal porn, anal sex, anal video, hardcore anal, teen anal, anal creampie, anal xxx, rough anal, anal gf, first anal, anal clips</t>
  </si>
  <si>
    <t>big ass, big ass porn, sexy ass, latina big ass, huge ass, big booty, big butt, phat ass, round ass, ass worship, ass sex, juicy ass</t>
  </si>
  <si>
    <t>anime, anime porn, anime xxx, anime sex, anime girl porn, anime hardcore, anime blowjob, anime cosplay sex, anime hentai, anime 3d, cartoon sex anime, naughty anime</t>
  </si>
  <si>
    <t>japanese, japanese porn, japanese sex, japanese teen, japanese milf, japanese creampie, japanese big tits, japanese blowjob, japanese amateur, japanese xxx, japanese video, hot japanese</t>
  </si>
  <si>
    <t>latina, latina porn, sexy latina, hot latina, latina girls, big ass latina, latina milf, latina teen, latina xxx, latina video, latina blowjob, latina anal</t>
  </si>
  <si>
    <t>asian, asian porn, asian pussy, sexy asian, asian teen, asian milf, hot asian, asian creampie, asian xxx, asian girls, asian amateur, asian video</t>
  </si>
  <si>
    <t>stepmom, stepmom porn, hot stepmom, stepmom sex, mature stepmom, big tits stepmom, naughty stepmom, sexy stepmom, stepmom blowjob, stepmom videos, milf stepmom, stepmom anal</t>
  </si>
  <si>
    <t>creampie, creampie porn, creampie sex, creampie xxx, creampie compilation, anal creampie, asian creampie, teen creampie, creampie gangbang, double creampie, pov creampie, milf creampie</t>
  </si>
  <si>
    <t>threesome, threesome porn, threesome sex, threesome xxx, threesome blowjob, mff threesome, mmf threesome, bisexual threesome, threesome with milf, threesome creampie, amateur threesome, big tits threesome</t>
  </si>
  <si>
    <t>animation, animation porn, porn animation, animated xxx, hentai animation, animation sex, animation blowjob, cartoon animation porn, 3d animation porn, animation xxx movie, sexy animation, animation videos</t>
  </si>
  <si>
    <t>big tits, big tits porn, busty porn, big breasts, sexy boobs, milf big tits, huge tits, natural tits, big boobs xxx, big tits video, teen big tits, bbw big tits</t>
  </si>
  <si>
    <t>massage, erotic massage, massage sex, massage porn, asian massage, nuru massage, happy ending massage, hot massage, massage milf, massage video, nuru sex, massage blowjob</t>
  </si>
  <si>
    <t>ebony, ebony porn, ebony sex, hot ebony, ebony bbw, ebony milf, ebony dildo, ebony xxx, ebony blowjob, ebony big tits, ebony teen, ebony amateur, ebony anal</t>
  </si>
  <si>
    <t>blowjob, blowjob porn, blowjob compilation, blowjob sex, blowjob videos, blowjob queen, blowjob xxx, deepthroat, blowjob pov, blowjob cumshot, teen blowjob, amateur blowjob</t>
  </si>
  <si>
    <t>trans, trans porn, shemale porn, shemale sex, sexy trans girl, trans cam, trans video, trans fetish, trans blowjob, shemale anal, trans big tits, shemale cock</t>
  </si>
  <si>
    <t>gangbang, gangbang porn, gangbang sex, gangbang xxx, teen gangbang, gangbang milf, gangbang creampie, gangbang bbc, asian gangbang, gangbang video, interracial gangbang, gangbang sex party, hardcore gangbang</t>
  </si>
  <si>
    <t>bbc, bbc porn, big black cock, bbc sex, bbc milf, asian bbc, white girl bbc, bbc blowjob, bbc anal, bbc creampie, bbc gangbang, bbc xxx</t>
  </si>
  <si>
    <t>wife, wife sex, sexy wife, hot wife, cheating wife, amateur wife, wife videos, wife swap, wife porn, mature wife, wife xxx, wife sharing</t>
  </si>
  <si>
    <t>3d, 3d porn, 3d hentai, 3d animation, 3d xxx, 3d sex animation, 3d cartoon porn, virtual 3d porn, 3d hentai animation, 3d porn video, 3d fantasy porn, 3d hentai sex</t>
  </si>
  <si>
    <t>pov, pov porn, pov sex, pov blowjob, pov creampie, pov anal, pov teen, pov amateur, deepthroat pov, pov cumshot, pov xxx, pov milf</t>
  </si>
  <si>
    <t>real amateur, amateur porn, amateur sex, real amateur sex, amateur couple, homemade porn, amateur wife, amateur blowjob, amateur teen, amateur xxx, real amateur video, amateur strip</t>
  </si>
  <si>
    <t>squirt, squirt porn, squirting sex, squirt compilation, hot squirt, squirt orgasm, pussy squirt, squirt xxx, teen squirt, milf squirt, hardcore squirting, squirt facial</t>
  </si>
  <si>
    <t>bbw, bbw porn, big beautiful women, bbw sex, bbw milf, bbw anal, bbw blowjob, busty bbw, bbw xxx, fat girl porn, bbw creampie, bbw compilation</t>
  </si>
  <si>
    <t>teacher, teacher porn, naughty teacher, sexy teacher, milf teacher, strict teacher, schoolgirl teacher, teacher blowjob, young teacher, hot teacher sex, teacher and student, roleplay teacher</t>
  </si>
  <si>
    <t>cartoon, cartoon porn, cartoon sex, cartoon xxx, cartoon hentai, cartoon blowjob, cartoon anal, cartoon creampie, funny cartoon porn, cartoon hentai sex, cartoon videos, cartoon threesome</t>
  </si>
  <si>
    <t>nurse, nurse porn, sexy nurse, hot nurse, naughty nurse, nurse blowjob, nurse sex, milf nurse, nurse xxx, nurse costume, nurse anal, lesbian nurse</t>
  </si>
  <si>
    <t>redhead, redhead porn, hot redhead, sexy redhead, redhead teen, redhead milf, busty redhead, redhead xxx, ginger porn, redhead blowjob, redhead anal, natural redhead</t>
  </si>
  <si>
    <t>latina milf, latina milf porn, hot latina milf, sexy latina milf, latina milf xxx, latina milf blowjob, latina milf anal, latina milf big tits, latina milf creampie, latina milf video, busty latina milf, latina milf amateur</t>
  </si>
  <si>
    <t>mature, mature porn, mature milf, mature woman, sexy mature, mature anal, mature creampie, mature big tits, mature xxx, mature blowjob, mature threesome, mature amateur</t>
  </si>
  <si>
    <t>fetish, fetish porn, fetish sex, bdsm fetish, fetish xxx, foot fetish, fetish latex, asian fetish, fetish milf, fetish blowjob, kinky fetish, fetish video</t>
  </si>
  <si>
    <t>bdsm, bdsm porn, bdsm sex, bdsm xxx, bdsm girl, bdsm slave, bdsm blowjob, bdsm anal, bdsm mistress, bdsm milf, bdsm fetish, hardcore bdsm, bdsm video</t>
  </si>
  <si>
    <t>interracial, interracial porn, interracial sex, interracial creampie, interracial bbc, interracial milf, hot interracial, asian interracial, latina interracial, interracial anal, interracial blowjob, interracial xxx</t>
  </si>
  <si>
    <t>college, college porn, college sex, college teens, hot college girls, college gangbang, college lesbians, college creampie, college amateur, college party porn, college blowjob, college xxx</t>
  </si>
  <si>
    <t>thick, thick porn, thick girl, thick milf, sexy thick, thick amateur, bbw thick, thick latina, thick anal, thick blowjob, thick ass, thick xxx</t>
  </si>
  <si>
    <t>goth, goth porn, goth girl, hot goth, goth blowjob, goth sex, goth amateur, goth anal, goth milf, goth xxx, goth cumshot, emo porn</t>
  </si>
  <si>
    <t>emo, emo porn, emo teen, sexy emo, emo blowjob, emo sex, emo xxx, emo anal, emo milf, emo amateur, emo creampie, emo goth</t>
  </si>
  <si>
    <t>stepsister, stepsister porn, sexy stepsister, stepsister sex, stepsister blowjob, stepsister xxx, teen stepsister, horny stepsister, naughty stepsister, stepsister anal, stepsister creampie, stepsister fuck</t>
  </si>
  <si>
    <t>cuckold, cuckold porn, cuckold sex, hotwife cuckold, amateur cuckold, cuckold creampie, cuckold bbc, cuckold humiliation, cuckold xxx, interracial cuckold, cuckold gangbang, cuckold amateur</t>
  </si>
  <si>
    <t>cream pie, creampie porn, creampie sex, creampie teen, creampie milf, creampie gangbang, creampie xxx, creampie anal, asian creampie, latina creampie, creampie compilation, amateur creampie</t>
  </si>
  <si>
    <t>petite, petite porn, petite teen, sexy petite, petite milf, petite anal, petite blowjob, petite xxx, petite creampie, petite videos, petite ass, tiny girl porn</t>
  </si>
  <si>
    <t>orgy, orgy porn, orgy sex, group sex, amateur orgy, teen orgy, milf orgy, interracial orgy, lesbian orgy, orgy xxx, sex party porn, hardcore orgy</t>
  </si>
  <si>
    <t>straight, straight porn, straight sex, straight couple sex, straight amateur, straight videos, straight blowjob, straight xxx, straight anal, straight creampie, straight fuck, straight teens</t>
  </si>
  <si>
    <t>public, public porn, public sex, in public, public blowjob, public xxx, public fap, public fetish, public creampie, public amateur, public flashing, outdoor sex</t>
  </si>
  <si>
    <t>stripper, stripper porn, stripper blowjob, stripper sex, stripper xxx, stripper amateur, hot stripper, busty stripper, stripper videos, teen stripper, stripper dancing, stripper anal</t>
  </si>
  <si>
    <t>casting, casting porn, casting couch, casting sex, casting blowjob, casting xxx, amateur casting, casting anal, casting creampie, casting milf, casting teen, porn audition</t>
  </si>
  <si>
    <t>ahegao, ahegao porn, ahegao face, hentai ahegao, anime ahegao, cum ahegao, ahegao compilation, ahegao xxx, asian ahegao, ahegao teen, cosplay ahegao, big tits ahegao</t>
  </si>
  <si>
    <t>roleplay, roleplay porn, roleplay sex, naughty roleplay, milf roleplay, cosplay roleplay, teacher roleplay, nurse roleplay, couple roleplay, bdsm roleplay, roleplay blowjobs, roleplay xxx</t>
  </si>
  <si>
    <t>maid, maid porn, sexy maid, hot maid, french maid porn, maid blowjob, maid xxx, maid anal, maid milf, maid videos, naughty maid, asian maid</t>
  </si>
  <si>
    <t>orgasm, orgasm porn, orgasm compilation, pussy orgasm, vibrator orgasm, multiple orgasm, orgasm xxx, orgasm milf, orgasm teen, intense orgasm, orgasm squirting, orgasm videos</t>
  </si>
  <si>
    <t>club, club porn, sex club, swinger club, club sex video, club gangbang, night club porn, club orgy, club xxx, club fuck, club amateur, club teens</t>
  </si>
  <si>
    <t>lingerie, lingerie porn, sexy lingerie, hot lingerie, lingerie milf, lingerie teen, lingerie xxx, lingerie cum, lingerie strip, lingerie blowjob, lingerie anal, naughty lingerie</t>
  </si>
  <si>
    <t>pantyhose, pantyhose porn, sexy pantyhose, pantyhose fetish, pantyhose milf, pantyhose teen, pantyhose blowjob, pantyhose anal, pantyhose xxx, milf in pantyhose, pantyhose cumshot, hot pantyhose</t>
  </si>
  <si>
    <t>tattoo, tattooed porn, tattoo milf, tattooed teen, tattoo sex, tattoo blowjob, tattoo creampie, tattoo girl xxx, hot tattoo porn, busty tattoo girl, tattoo anal, tattoo compilation</t>
  </si>
  <si>
    <t>hotel, hotel porn, hotel sex, hotel room sex, hotel amateur, hotel milf, hotel blowjob, hotel anal, hotel xxx, hotel fuck, cheating in hotel, hotel compilation</t>
  </si>
  <si>
    <t>office, office porn, office sex, sexy secretary, office milf, office blowjob, office creampie, office xxx, naughty office, boss and secretary, office anal, office fuck</t>
  </si>
  <si>
    <t>secretary, secretary porn, hot secretary, sexy secretary milf, secretary blowjob, naughty secretary, secretary creampie, milf secretary, secretary anal, secretary strip, secretary xxx, secretary fuck</t>
  </si>
  <si>
    <t>shower, shower porn, shower sex, hot shower, shower teen, shower milf, shower blowjob, shower xxx, shower masturbation, shower lesbian, shower anal, shower videos</t>
  </si>
  <si>
    <t>korean, korean porn, korean sex, hot korean girl, korean blowjob, korean milf, korean teen, korean amateur, korean xxx, korean anal, korean video, korean creampie</t>
  </si>
  <si>
    <t>thailand, thai porn, thai sex, thai teen, thai blowjob, thai milf, thai xxx, hot thai girl, thai anal, thai amateur, thai creampie, thai videos</t>
  </si>
  <si>
    <t>russian, russian porn, russian teen, russian milf, russian blowjob, hot russian girl, russian anal, russian creampie, russian xxx, russian amateur, russian sex video, russian gangbang</t>
  </si>
  <si>
    <t>german, german porn, german milf, german sex, german teen, german xxx, german blowjob, german anal, german videos, german creampie, hot german, german amateur</t>
  </si>
  <si>
    <t>french, french porn, french sex, french teen, french milf, french blowjob, french anal, french xxx, hot french girl, french amateur, french creampie, french videos</t>
  </si>
  <si>
    <t>italian, italian porn, italian sex, italian milf, italian teen, italian blowjob, italian anal, italian xxx, italian amateur, hot italian girl, italian creampie, italian videos</t>
  </si>
  <si>
    <t>spanish, spanish porn, spanish sex, spanish milf, spanish teen, spanish anal, spanish blowjob, spanish videos, hot spanish girl, spanish xxx, spanish amateur, spanish creampie</t>
  </si>
  <si>
    <t>feet, foot fetish, feet porn, sexy feet, feet worship, footjob, feet licking, feet xxx, feet cumshot, feet tease, feet milf, feet pics</t>
  </si>
  <si>
    <t>latex, latex porn, latex fetish, sexy latex, latex bdsm, latex xxx, latex mistress, latex milf, latex gloves fetish, latex anal, latex blowjob, latex videos</t>
  </si>
  <si>
    <t>leather, leather fetish, leather porn, sexy leather, leather milf, leather bdsm, leather xxx, leather mistress, leather lingerie, leather anal, leather blowjob, leather hot</t>
  </si>
  <si>
    <t>uniform, uniform porn, uniform sex, sexy uniform, schoolgirl uniform, nurse uniform, police uniform porn, milf in uniform, uniform xxx, uniform blowjob, uniform strip, uniform anal</t>
  </si>
  <si>
    <t>stockings, stockings porn, sexy stockings, stockings tease, milf stockings, teen stockings, stockings blowjob, stockings xxx, stockings ass, stockings sex, stockings anal, stockings strip</t>
  </si>
  <si>
    <t>heels, high heels porn, sexy heels, milf in heels, heels fetish, hot heels, heels xxx, heels sex, heels blowjob, heels anal, heels tease, stiletto porn</t>
  </si>
  <si>
    <t>glasses, glasses porn, sexy glasses, milf with glasses, glasses blowjob, naughty glasses girl, glasses milf, glasses xxx, teen glasses, glasses sex, glasses anal, glasses strip</t>
  </si>
  <si>
    <t>fisting, fisting porn, anal fisting, double fisting, fist fuck, hardcore fisting, lesbian fisting, milf fisting, fisting xxx, fisting compilation, extreme fisting, teen fisting</t>
  </si>
  <si>
    <t>spanking, spanking porn, spanking fetish, spanking milf, anal spanking, teen spanking, lesbian spanking, spanking xxx, spanking ass, spanking video, bdsm spanking, hand spanking</t>
  </si>
  <si>
    <t>facesitting, facesitting porn, facesitting milf, facesitting xxx, smother porn, facesitting domination, facesitting slave, bbw facesitting, lesbian facesitting, facesitting blowjob, facesitting anal, facesitting fetish</t>
  </si>
  <si>
    <t>trampling, trampling porn, trampling fetish, trampling milf, trampling xxx, trampling heels, trampling feet, trampling bdsm, trampling face, trampling video, trampling domination, trampling milf fetish</t>
  </si>
  <si>
    <t>gaping, gaping porn, gaping anal, extreme gaping, pussy gaping, gape fetish, gape xxx, anal gape, pussy gape, gape dildo, gape milf, gape teen</t>
  </si>
  <si>
    <t>tentacle, tentacle porn, tentacle hentai, tentacle sex, tentacle xxx, anime tentacle, hentai tentacle, tentacle milf, tentacle bdsm, tentacle ass, tentacle videos, tentacle fantasy</t>
  </si>
  <si>
    <t>machine, sex machine porn, fucking machine, machine penetration, machine xxx, machine blowjob, machine anal, machine milf, machine dildo, sex machine milfs, extreme machine, bondage machine</t>
  </si>
  <si>
    <t>giantess, giantess porn, giantess fetish, giantess sex, giantess xxx, shrunken man porn, giantess milf, giantess domination, giantess ass, giantess blowjob, giantess vore, giantess crush</t>
  </si>
  <si>
    <t>vore, vore porn, vore fetish, vore hentai, vore sex, vore xxx, vore milf, vore domination, vore anime, vore giantess, vore video, vore hardcore</t>
  </si>
  <si>
    <t>shibari, shibari porn, shibari bondage, japanese shibari, shibari rope, shibari milf, shibari xxx, shibari fetish, shibari video, shibari sex, rope bondage, shibari ties</t>
  </si>
  <si>
    <t>bondage, bondage porn, bondage sex, bondage xxx, bondage milf, japanese bondage, hardcore bondage, teen bondage, handcuff porn, rope bondage, leather bondage, bdsm bondage</t>
  </si>
  <si>
    <t>rope, rope porn, rope bondage, rope milf, rope xxx, rope sex, rope blowjob, japanese rope, rope fetish, rope slave, rope milf sex, rope amateur</t>
  </si>
  <si>
    <t>slave, slave porn, bdsm slave, slave milf, leather slave, slave xxx, slave girl, slave anal, slave blowjob, submissive slave porn, slave punishment, bdsm slave girl</t>
  </si>
  <si>
    <t>master, master porn, master domination, bdsm master, master xxx, master milf, master fetish, sex master, master blowjob, master anal, master roleplay, master video</t>
  </si>
  <si>
    <t>mom-son, mom son porn, milf and son, mature mom son, taboo mom son, mom son blowjob, mom son sex, mom son anal, mom son creampie, mom son xxx, stepmom son sex, incest stepmom son</t>
  </si>
  <si>
    <t>dad-daughter, dad daughter porn, father daughter sex, taboo dad daughter, stepdad daughter porn, dad daughter blowjob, dad daughter anal, dad daughter xxx, dad daughter creampie, dad daughter fetish, incest dad daughter, sugar daddy daughter</t>
  </si>
  <si>
    <t>incest, incest porn, taboo incest, incest sex, incest creampie, incest milf, incest anal, incest blowjob, incest xxx, incest compilation, incest family, incest fetish</t>
  </si>
  <si>
    <t>diaper, diaper porn, diaper fetish, adult baby diaper lover, diaper xxx, diaper milf, diaper sex, diaper roleplay, diaper domination, diaper videos, diaper stripping, diaper humiliation</t>
  </si>
  <si>
    <t>ageplay, ageplay porn, ageplay kink, ageplay milf, ageplay sex, daddy daughter ageplay, mommy son ageplay, ageplay xxx, ageplay roleplay, taboo ageplay, ageplay blowjob, ageplay anal</t>
  </si>
  <si>
    <t>pregnant, pregnant porn, pregnant milf, pregnant teen, pregnant sex, pregnant creampie, pregnant blowjob, pregnant fetish, pregnant xxx, pregnant lesbian, pregnant anal, pregnant compilation</t>
  </si>
  <si>
    <t>lactation, lactation porn, lactating milf, lactating tits, lactation fetish, lactating blowjob, lactation sex, lactation xxx, lactating compilation, lactating lesbian, lactating anal, milk porn</t>
  </si>
  <si>
    <t>milking, milking porn, cock milking, milking fetish, milking machine, milking xxx, milking blowjob, milking domination, prostate milking, milking creampie, milking video, milking orgasm</t>
  </si>
  <si>
    <t>tickling, tickling porn, tickling fetish, tickling milf, tickling sex, tickling xxx, erotic tickling, torture tickling, female tickling, tied tickling, tickling blowjob, tickling domination</t>
  </si>
  <si>
    <t>asphyxiation, breath play, breath control porn, erotic asphyxiation, asphyxiation fetish, breath play milf, asphyxiation xxx, breath control bdsm, breath play video, choking porn, choking fetish, air play porn</t>
  </si>
  <si>
    <t>choking, choking porn, choking blowjob, choking fetish, choking bdsm, choking deepthroat, choking milf, choking xxx, choking compilation, choking anal, choking rough, breath play</t>
  </si>
  <si>
    <t>femdom, femdom porn, femdom domination, femdom mistress, femdom milf, femdom slave, femdom fetish, femdom ass worship, femdom xxx, femdom pegging, femdom handjob, femdom cum</t>
  </si>
  <si>
    <t>maledom, maledom porn, male domination porn, maledom bdsm, maledom milf, maledom teen, maledom xxx, male dominating female, maledom blowjob, maledom anal, maledom slaves, alpha male porn</t>
  </si>
  <si>
    <t>edging, edging porn, edging fetish, orgasm control porn, edging sex, edging domination, denying orgasm, edging compilation, edging milf, edging xxx, edging blowjob, edge play</t>
  </si>
  <si>
    <t>denial, orgasm denial, denial fetish, denial porn, denial xxx, denial compilation, denial milf, denial domination, denial sex, denial blowjob, orgasm denial bdsm, cum denial</t>
  </si>
  <si>
    <t>prostate, prostate massage, prostate fetish, prostate milking, anal prostate play, prostate porn, prostate sex, prostate blowjob, prostate xxx, prostate dildo, prostate videos, prostate stimulation</t>
  </si>
  <si>
    <t>rimjob, rimjob porn, anal licking, ass licking, rimjob milf, rimjob xxx, rimjob porn videos, rimjob compilation, rimjob fetish, rimjob bdsm, rimjob lesbian, rimjob teen</t>
  </si>
  <si>
    <t>ass worship, ass worship porn, ass worship milf, ass worship lesbian, ass worship videos, ass worship xxx, ass worship compilation, ass worship anal, ass worship bdsm, ass worship fetish, ass worship amateurs, bbw ass worship</t>
  </si>
  <si>
    <t>armpit, armpit fetish, armpit licking, armpit porn, armpit sex, armpit milf, armpit licking videos, armpit xxx, armpit compilation, armpit worship, armpit blowjob, lesbian armpit</t>
  </si>
  <si>
    <t>belly, belly porn, belly fetish, belly milf, belly sex, belly licking, belly cumshot, belly videos, pregnant belly porn, belly rub porn, belly button fetish, belly xxx</t>
  </si>
  <si>
    <t>hairy, hairy porn, hairy pussy, hairy milf, hairy teen, hairy creampie, hairy xxx, hairy blowjob, natural hairy porn, hairy anal, hairy fetish, hairy vintage porn</t>
  </si>
  <si>
    <t>wetlook, wetlook porn, wetlook fetish, wetlook XXX, wetlook sex, wetlook milf, wet clothes porn, women in wetlook, wetlook blowjob, wetlook anal, wetlook strip, sexy wetlook</t>
  </si>
  <si>
    <t>whipping, whipping porn, whipping fetish, whipping milf, whipping bdsm, whipping domination, whipping girl, whipping videos, whipping slave, whipping xxx, whipping compilation, whipping roleplay</t>
  </si>
  <si>
    <t>candle, candle wax porn, wax play, candle fetish, candle sex, wax bdsm, candle domination, candle milf, candle xxx, candle videos, candle play compilation, hot wax on body</t>
  </si>
  <si>
    <t>triple, triple penetration porn, triple xxx, triple sex, triple milf, triple fetish, triple anal, double anal triple, triple creampie, triple blowjob, hardcore triple, triple gangbang</t>
  </si>
  <si>
    <t>dp, double penetration, dp porn, dp milf, anal dp, dp xxx, dp compilation, double anal, dp gangbang, dp fetish, dp amateur, dp teen</t>
  </si>
  <si>
    <t>da, double anal porn, double anal sex, double anal milf, double anal teen, double anal xxx, extreme double anal, double anal gangbang, double anal fetish, double anal compilation, double anal rough, double anal amateur</t>
  </si>
  <si>
    <t>enema, enema porn, enema fetish, enema sex, enema milf, anal enema, enema xxx, enema videos, extreme enema, enema domination, enema play, cosplay enema</t>
  </si>
  <si>
    <t>giant, giant porn, giant fetish, giant milf, giant xxx, giant domination, giant sex, giant feet fetish, giantess roleplay, giant blowjob, giant crush, macro fetish</t>
  </si>
  <si>
    <t>shrinking, shrinking porn, shrinking fetish, shrinking xxx, giantess shrinking man, shrinking roleplay, shrinking sex, shrinking milf, shrinking videos, tiny man porn, shrinking blowjob, shrinking anal</t>
  </si>
  <si>
    <t>medical, medical porn, doctor fetish, nurse fetish, gyno exam porn, medical sex, hospital porn, medical xxx, medical milf, sexy doctor, patient nurse sex, medical roleplay</t>
  </si>
  <si>
    <t>dental, dental porn, dentist fetish, dental xxx, dental sex, dental blowjob, dentist milf, dental compilation, dental tools fetish, patient dentist porn, dental anal, dental videos</t>
  </si>
  <si>
    <t>robot, robot porn, robot sex, android porn, android sex, robot milf, robot xxx, sex with robot, robot hentai, robot blowjob, robot compilation, robot fantasy</t>
  </si>
  <si>
    <t>clown, clown porn, clown sex, clown xxx, clown blowjob, clown milf, clown fetish, clown roleplay, clown compilation, clown anal, clown lingerie porn, clown gangbang</t>
  </si>
  <si>
    <t>mask, masked porn, masked sex, mask fetish, mask milf, mask blowjob, masked xxx, sexy mask, gas mask fetish, latex mask porn, masked compilation, masked anal</t>
  </si>
  <si>
    <t>horny gamer, gamer girl porn, gamer milf, gamer cosplay porn, hentai gamer, gamer blowjob, hot gamer girl, gamer xxx, gamer girlfriend porn, playstation girl porn, gamer anal, gamer fetish</t>
  </si>
  <si>
    <t>eyewear, glasses porn, sunglasses fetish, sexy glasses girl, milf in glasses, hentai glasses girl, glasses xxx, eyeglasses porn, glasses blowjob, glasses anal, glasses compilation, glasses cosplay</t>
  </si>
  <si>
    <t>slime, slime porn, slime sex, slime hentai, slime fetish, slime milf, slime xxx, slime anime, slime blowjob, slime compilation, slime creampie, slime tentacle porn</t>
  </si>
  <si>
    <t>doll, doll porn, sex doll porn, doll fetish, doll sex, life size doll porn, inflatable doll porn, doll milf, doll blowjob, doll xxx, doll videos, doll cosplay</t>
  </si>
  <si>
    <t>mannequin, mannequin porn, mannequin fetish, mannequin sex, mannequin milf, mannequin blowjob, mannequin xxx, mannequin video, mannequin cosplay, mannequin domination, mannequin creampie, mannequin strip</t>
  </si>
  <si>
    <t>public kink, public fetish porn, public bdsm, public humiliation, public domination, public xxx, public whipping, public blowjob, public anal, public creampie, public strip, outdoor fetish</t>
  </si>
  <si>
    <t>toilet, toilet porn, toilet fetish, toilet xxx, toilet milf, toilet domination, toilet anal, toilet blowjob, using toilet fetish, toilet roleplay, extreme toilet play, toilet cam</t>
  </si>
  <si>
    <t>tranny cosplay, trans cosplay porn, trans cosplay sex, shemale cosplay, shemale cosplay xxx, cosplay trans girl, trans hentai cosplay, cosplay shemale, cosplay trans milf, cosplay shemale fetish, cosplay trans blowjob, cosplay trans anime</t>
  </si>
  <si>
    <t>maid cosplay, sexy maid cosplay, maid cosplay porn, maid cosplay sex, maid cosplay blowjob, anime maid cosplay, hentai maid cosplay, french maid cosplay, naughty maid cosplay, maid cosplay milf, maid cosplay strip, cosplay maid xxx</t>
  </si>
  <si>
    <t>gender swap, gender swap porn, gender swap hentai, transformation porn, tg porn, tg transformation hentai, gender swap sex, gender swap xxx, body swap fetish, swap blowjob, swap anal, swap milf</t>
  </si>
  <si>
    <t>monster, monster porn, monster hentai, monster sex, monster girl hentai, monster milf, monster xxx, monster blowjob, monster anime, monster gangbang, monster compilation, monster creampie</t>
  </si>
  <si>
    <t>alien, alien porn, alien sex, alien hentai, alien milf, alien xxx, alien fetish, alien blowjob, alien compilation, alien gangbang, alien roleplay, alien anime porn</t>
  </si>
  <si>
    <t>witch, witch porn, witch milf, witch sex, witch xxx, sexy witch, hentai witch, witch fetish, witch blowjob, witch strip, halloween witch porn, demon witch sex</t>
  </si>
  <si>
    <t>nun, nun porn, sexy nun, nun milf, nun xxx, naughty nun, nun blowjob, nun anal, nun fetish, nun creampie, nun masturbation, nun costume porn</t>
  </si>
  <si>
    <t>demon, demon porn, demon hentai, demon sex, demon xxx, demon milf, demon blowjob, demon creampie, demon gangbang, demon anime, demon compilation, demon tentacle</t>
  </si>
  <si>
    <t>angel, angel porn, hentai angel, angel sex, angel milf, angel creampie, angel blowjob, fallen angel porn, angel xxx, angel gangbang, angel fetish, angel anime hentai</t>
  </si>
  <si>
    <t>succubus, succubus porn, succubus hentai, succubus sex, succubus xxx, succubus milf, succubus blowjob, succubus domination, succubus creampie, succubus anime, succubus cosplay, succubus gangbang</t>
  </si>
  <si>
    <t>vampire, vampire porn, vampire milf, vampire sex, vampire xxx, vampire blowjob, vampire creampie, vampire gangbang, vampire domination, vampire cosplay, vampire fetish, sexy vampire</t>
  </si>
  <si>
    <t>zombie, zombie porn, zombie sex, zombie milf, zombie xxx, zombie blowjob, zombie gangbang, zombie lesbian, zombie roleplay, zombie fetish, zombie hentai, zombie creampie</t>
  </si>
  <si>
    <t>mummy, mummy porn, mummy milf, mummy sex, mummy xxx, wrapped mummy porn, mummy blowjob, mummy creampie, mummy cosplay, mummy domination, mummy fetish, mummy anal</t>
  </si>
  <si>
    <t>pokemon, pokemon porn, pokemon hentai, pokemon xxx, pikachu porn, misty porn, pokemon sex, rule34 pokemon, pokemon blowjob, pokemon cosplay, pokemon hentai videos, pokemon girls</t>
  </si>
  <si>
    <t>misty, misty porn, pokemon misty porn, pokemon misty hentai, misty xxx, naked misty, misty cosplay, misty nude, pokemon girl misty, misty blowjob, misty sex, misty hentai videos</t>
  </si>
  <si>
    <t>renamon, renamon porn, renamon sex, renamon hentai, renamon xxx, renamon blowjob, renamon cosplay, renamon nude, renamon rule34, digimon renamon porn, furry renamon, renamon videos</t>
  </si>
  <si>
    <t>frieren, frieren porn, frieren hentai, frieren xxx, frieren cosplay, frieren nude, frieren blowjob, frieren porn videos, frieren nude hentai, frieren sex, frieren parody, sousou no frieren hentai</t>
  </si>
  <si>
    <t>dragon ball, dragon ball porn, dragon ball hentai, dragon ball xxx, dragon ball z porn, dragon ball super hentai, goku porn, bulma porn, chi chi porn, dragon ball blowjob, dragon ball cosplay, dragon ball parody</t>
  </si>
  <si>
    <t>bulma, bulma porn, bulma hentai, bulma xxx, naked bulma, bulma cosplay, bulma blowjob, bulma porn videos, dragon ball bulma porn, sexy bulma, bulma nude hentai, bulma parody</t>
  </si>
  <si>
    <t>naruto, naruto porn, naruto hentai, naruto xxx, naruto cosplay, naruto blowjob, naruto parody, naruto nude hentai, naruto porn videos, naruto parody porn, naruto hentai sex, naruto anime porn</t>
  </si>
  <si>
    <t>hinata hyuga, hinata porn, hinata hentai, hinata xxx, naked hinata, hinata cosplay, hinata blowjob, hinata porn videos, naruto hinata sex, hinata parody porn, hinata hentai videos, hinata nude hentai</t>
  </si>
  <si>
    <t>one piece, one piece porn, one piece hentai, one piece xxx, nami porn, robin porn, one piece parody, one piece cosplay, nami hentai, robin hentai, one piece sex, one piece porn videos</t>
  </si>
  <si>
    <t>nami, nami porn, nami hentai, nami xxx, naked nami, nami cosplay, nami blowjob, nami porn videos, one piece nami sex, nami parody porn, nami hentai videos, nami nude hentai</t>
  </si>
  <si>
    <t>nico robin, robin porn, robin hentai, robin xxx, naked robin, robin cosplay, robin blowjob, robin porn videos, one piece robin sex, robin parody porn, robin hentai videos, robin nude hentai</t>
  </si>
  <si>
    <t>my hero academia, my hero academia porn, mha hentai, mha xxx, ochako porn, toga porn, my hero parody, mha cosplay, ochako hentai, toga hentai, mha sex, my hero xxx videos</t>
  </si>
  <si>
    <t>ochako, ochako porn, ochako hentai, ochako xxx, naked ochako, ochako cosplay, ochako blowjob, ochako porn videos, mha ochako sex, ochako parody, ochako hentai videos, ochako nude hentai</t>
  </si>
  <si>
    <t>toga, toga porn, toga hentai, toga xxx, naked toga, toga cosplay, toga blowjob, toga porn videos, mha toga sex, toga parody porn, toga hentai videos, toga nude hentai</t>
  </si>
  <si>
    <t>attack on titan, aot porn, attack on titan hentai, aot xxx, mikasa porn, annie porn, attack on titan parody, aot cosplay, mikasa hentai, annie hentai, attack on titan sex, aot porn videos</t>
  </si>
  <si>
    <t>mikasa, mikasa porn, mikasa hentai, mikasa xxx, naked mikasa, mikasa cosplay, mikasa blowjob, mikasa porn videos, attack on titan mikasa sex, mikasa parody porn, mikasa hentai videos, mikasa nude hentai</t>
  </si>
  <si>
    <t>demon slayer, demon slayer porn, kimetsu no yaiba porn, demon slayer hentai, demon slayer xxx, nezuko porn, shinobu porn, demon slayer cosplay, demon slayer parody, nezuko hentai, shinobu hentai, demon slayer xxx videos</t>
  </si>
  <si>
    <t>nezuko, nezuko porn, nezuko hentai, nezuko xxx, naked nezuko, nezuko cosplay, nezuko blowjob, nezuko porn videos, demon slayer nezuko sex, nezuko parody porn, nezuko hentai videos, nezuko nude hentai</t>
  </si>
  <si>
    <t>chainsaw man, chainsaw man porn, chainsaw man hentai, csm xxx, makima porn, power porn, chainsaw man cosplay, chainsaw man parody, makima hentai, power hentai, chainsaw man sex, chainsaw man xxx</t>
  </si>
  <si>
    <t>makima, makima porn, makima hentai, makima xxx, naked makima, makima cosplay, makima blowjob, makima porn videos, chainsaw man makima sex, makima parody porn, makima hentai videos, makima nude hentai</t>
  </si>
  <si>
    <t>power, power porn, power hentai, power xxx, naked power, power cosplay, power blowjob, power porn videos, chainsaw man power sex, power parody porn, power hentai videos, power nude hentai</t>
  </si>
  <si>
    <t>bleach, bleach porn, bleach hentai, bleach xxx, rangiku porn, orihime porn, bleach cosplay, bleach parody, rangiku hentai, orihime hentai, bleach sex, bleach porn videos</t>
  </si>
  <si>
    <t>orihime, orihime porn, orihime hentai, orihime xxx, naked orihime, orihime cosplay, orihime blowjob, bleach orihime porn, orihime parody, orihime hentai videos, orihime porn vids, bleach orihime hentai</t>
  </si>
  <si>
    <t>rangiku, rangiku porn, rangiku hentai, rangiku xxx, naked rangiku, rangiku cosplay, rangiku blowjob, bleach rangiku porn, rangiku parody, rangiku hentai videos, rangiku nude hentai, bleach rangiku parody</t>
  </si>
  <si>
    <t>fairy tail, fairy tail porn, fairy tail hentai, fairy tail xxx, erza porn, lucy porn, fairy tail cosplay, fairy tail parody, erza hentai, lucy hentai, fairy tail sex, fairy tail videos</t>
  </si>
  <si>
    <t>erza scarlet, erza porn, erza hentai, erza xxx, naked erza, erza cosplay, erza blowjob, erza porn videos, fairy tail erza sex, erza parody porn, erza hentai videos, erza nude hentai</t>
  </si>
  <si>
    <t>lucy heartfilia, lucy porn, lucy hentai, lucy xxx, naked lucy, lucy cosplay, lucy blowjob, lucy porn videos, fairy tail lucy sex, lucy parody porn, lucy hentai videos, lucy nude hentai</t>
  </si>
  <si>
    <t>spy x family, spy x family porn, spy family hentai, spy family xxx, yor porn, anya porn, spy family cosplay, spy family parody, yor hentai, anya hentai, spy family sex, spy family videos</t>
  </si>
  <si>
    <t>yor forger, yor porn, yor hentai, yor xxx, naked yor, yor cosplay, yor blowjob, spy family yor porn, yor parody, yor hentai videos, yor nude hentai, spy family yor sex</t>
  </si>
  <si>
    <t>jujutsu kaisen, jujutsu kaisen porn, jjk hentai, jjk xxx, nobara porn, maki porn, jjk parody, jjk cosplay, nobara hentai, maki hentai, jujutsu kaisen sex, jjk porn videos</t>
  </si>
  <si>
    <t>nobara kugisaki, nobara porn, nobara hentai, nobara xxx, naked nobara, nobara cosplay, nobara blowjob, nobara porn videos, jjk nobara sex, nobara parody porn, nobara hentai videos, nobara nude hentai</t>
  </si>
  <si>
    <t>inuyasha, inuyasha porn, inuyasha hentai, inuyasha xxx, kagome porn, sango porn, inuyasha parody, inuyasha cosplay, kagome hentai, sango hentai, inuyasha sex, inuyasha videos</t>
  </si>
  <si>
    <t>kagome, kagome porn, kagome hentai, kagome xxx, naked kagome, kagome cosplay, kagome blowjob, kagome porn videos, inuyasha kagome sex, kagome parody porn, kagome hentai videos, kagome nude hentai</t>
  </si>
  <si>
    <t>sailor moon, sailor moon porn, sailor moon hentai, sailor moon xxx, usagi porn, sailor mars porn, sailor moon parody, sailor moon cosplay, usagi hentai, mars hentai, sailor moon sex, sailor moon porn vids</t>
  </si>
  <si>
    <t>usagi tsukino, usagi porn, usagi hentai, usagi xxx, naked usagi, usagi cosplay, usagi blowjob, sailor moon usagi sex, usagi parody porn, usagi hentai videos, usagi nude hentai, usagi parody</t>
  </si>
  <si>
    <t>pokemon misty team rocket, jessie porn, jessie hentai, jessie xxx, naked jessie, jessie cosplay, jessie blowjob, jessie porn videos, team rocket sex, jessie parody porn, jessie hentai videos, jessie nude hentai</t>
  </si>
  <si>
    <t>overwatch, overwatch porn, overwatch hentai, overwatch xxx, tracer porn, mercy porn, overwatch parody, overwatch cosplay, tracer hentai, mercy hentai, overwatch sex, overwatch videos</t>
  </si>
  <si>
    <t>league of legends, lol porn, lol hentai, lol xxx, ahri porn, jinx porn, lol parody, lol cosplay, ahri hentai, jinx hentai, league of legends sex, lol porn videos</t>
  </si>
  <si>
    <t>ahri, ahri porn, ahri hentai, ahri xxx, naked ahri, ahri cosplay, ahri blowjob, ahri porn videos, lol ahri sex, ahri parody porn, ahri hentai videos, ahri nude hentai</t>
  </si>
  <si>
    <t>jinx, jinx porn, jinx hentai, jinx xxx, naked jinx, jinx cosplay, jinx blowjob, jinx porn videos, lol jinx sex, jinx parody porn, jinx hentai videos, jinx nude hentai</t>
  </si>
  <si>
    <t>zelda, zelda porn, zelda hentai, zelda xxx, naked zelda, zelda cosplay, zelda blowjob, zelda porn videos, link zelda sex, zelda parody porn, zelda hentai videos, zelda nude hentai</t>
  </si>
  <si>
    <t>link, link porn, link hentai, link xxx, naked link, link cosplay, link blowjob, link porn videos, link zelda sex, link parody porn, link hentai videos, link nude hentai</t>
  </si>
  <si>
    <t>genshin impact, genshin porn, genshin hentai, genshin xxx, ganyu porn, amber porn, genshin cosplay, genshin parody, ganyu hentai, amber hentai, genshin sex, genshin videos</t>
  </si>
  <si>
    <t>ganyu, ganyu porn, ganyu hentai, ganyu xxx, naked ganyu, ganyu cosplay, ganyu blowjob, ganyu porn videos, genshin ganyu sex, ganyu parody porn, ganyu hentai videos, ganyu nude hentai</t>
  </si>
  <si>
    <t>amber genshin, amber porn, amber hentai, amber xxx, naked amber, amber cosplay, amber blowjob, amber porn videos, genshin amber sex, amber parody porn, amber hentai videos, amber nude hentai</t>
  </si>
  <si>
    <t>fate stay night, fate porn, fate hentai, fate stay night xxx, saber porn, rin tohsaka porn, fate parody, fate cosplay, saber hentai, rin hentai, fate sex, fate porn videos</t>
  </si>
  <si>
    <t>saber, saber porn, saber hentai, saber xxx, naked saber, saber cosplay, saber blowjob, saber porn videos, fate saber sex, saber parody porn, saber hentai videos, saber nude hentai</t>
  </si>
  <si>
    <t>rin tohsaka, rin porn, rin hentai, rin xxx, naked rin, rin cosplay, rin blowjob, rin porn videos, fate rin sex, rin parody porn, rin hentai videos, rin nude hentai</t>
  </si>
  <si>
    <t>zero two, zero two porn, zero two hentai, zero two xxx, naked zero two, zero two cosplay, zero two blowjob, darling in the franxx porn, zero two hentai videos, zero two nude hentai, zero two parody porn, zero two sex</t>
  </si>
  <si>
    <t>darling in the franxx, franxx porn, franxx hentai, franxx xxx, zero two porn, ichigo porn, franxx cosplay, franxx parody, zero two hentai, ichigo hentai, franxx sex, franxx videos</t>
  </si>
  <si>
    <t>kill la kill, kill la kill porn, kill la kill hentai, kill la kill xxx, ryuko porn, satsuki porn, kill la kill cosplay, kill la kill parody, ryuko hentai, satsuki hentai, kill la kill sex, kill la kill videos</t>
  </si>
  <si>
    <t>ryuko matoi, ryuko porn, ryuko hentai, ryuko xxx, naked ryuko, ryuko cosplay, ryuko blowjob, ryuko porn videos, kill la kill ryuko sex, ryuko parody porn, ryuko hentai videos, ryuko nude hentai</t>
  </si>
  <si>
    <t>satsuki kiryuuin, satsuki porn, satsuki hentai, satsuki xxx, naked satsuki, satsuki cosplay, satsuki blowjob, satsuki porn videos, kill la kill satsuki sex, satsuki parody porn, satsuki hentai videos, satsuki nude hentai</t>
  </si>
  <si>
    <t>monster musume, monster musume porn, monster musume hentai, monster musume xxx, miia porn, papi porn, monster musume cosplay, monster musume parody, miia hentai, papi hentai, monster musume sex, monster musume videos</t>
  </si>
  <si>
    <t>high school dxd, dxd porn, high school dxd hentai, dxd xxx, rias porn, akeno porn, dxd cosplay, dxd parody, rias hentai, akeno hentai, high school dxd sex, dxd porn videos</t>
  </si>
  <si>
    <t>rias gremory, rias porn, rias hentai, rias xxx, naked rias, rias cosplay, rias blowjob, rias porn videos, dxd rias sex, rias parody porn, rias hentai videos, rias nude hentai</t>
  </si>
  <si>
    <t>akeno himejima, akeno porn, akeno hentai, akeno xxx, naked akeno, akeno cosplay, akeno blowjob, akeno porn videos, dxd akeno sex, akeno parody porn, akeno hentai videos, akeno nude hentai</t>
  </si>
  <si>
    <t>neko, neko porn, neko hentai, neko girls porn, catgirl porn, catgirl hentai, neko xxx, neko cosplay, neko blowjob, neko maid porn, anime catgirl porn, neko creampie</t>
  </si>
  <si>
    <t>kemono friends, kemono friends porn, kemono hentai, kemono friends xxx, kemono cosplay, kemono parody, kemono furry, kemono porn videos, kemono xxx videos, kemono friends hentai videos, kemono sex, kemono hentai sex</t>
  </si>
  <si>
    <t>beastars, beastars porn, beastars hentai, beastars xxx, haru porn, juno porn, legoshi porn, beastars cosplay, beastars parody, haru hentai, juno hentai, beastars furry sex</t>
  </si>
  <si>
    <t>haru beastars, haru porn, haru hentai, haru xxx, naked haru, haru cosplay, haru blowjob, haru porn videos, beastars haru sex, haru parody porn, haru hentai videos, haru nude hentai</t>
  </si>
  <si>
    <t>juvia lockser, juvia porn, juvia hentai, juvia xxx, naked juvia, juvia cosplay, juvia blowjob, juvia porn videos, fairy tail juvia sex, juvia parody porn, juvia hentai videos, juvia nude hentai</t>
  </si>
  <si>
    <t>yoko littner, yoko porn, yoko hentai, yoko xxx, naked yoko, yoko cosplay, yoko blowjob, yoko porn videos, gurren lagann yoko sex, yoko parody porn, yoko hentai videos, yoko nude hentai</t>
  </si>
  <si>
    <t>gurren lagann, gurren lagann porn, gurren lagann hentai, gurren lagann xxx, yoko porn, nia porn, gurren lagann parody, gurren lagann cosplay, yoko hentai, nia hentai, gurren lagann sex, gurren lagann videos</t>
  </si>
  <si>
    <t>rem re zero, rem porn, rem hentai, rem xxx, naked rem, rem cosplay, rem blowjob, rem porn videos, re zero rem sex, rem parody porn, rem hentai videos, rem nude hentai</t>
  </si>
  <si>
    <t>re zero, rezero porn, rezero hentai, rezero xxx, rem porn, emilia porn, rezero cosplay, rezero parody, rem hentai, emilia hentai, rezero sex, rezero porn videos</t>
  </si>
  <si>
    <t>emilia rezero, emilia porn, emilia hentai, emilia xxx, naked emilia, emilia cosplay, emilia blowjob, emilia porn videos, rezero emilia sex, emilia parody porn, emilia hentai videos, emilia nude hentai</t>
  </si>
  <si>
    <t>konosuba, konosuba porn, konosuba hentai, konosuba xxx, megumin porn, aqua porn, konosuba cosplay, konosuba parody, megumin hentai, aqua hentai, konosuba sex, konosuba porn videos</t>
  </si>
  <si>
    <t>megumin, megumin porn, megumin hentai, megumin xxx, naked megumin, megumin cosplay, megumin blowjob, megumin porn videos, konosuba megumin sex, megumin parody porn, megumin hentai videos, megumin nude hentai</t>
  </si>
  <si>
    <t>aqua konosuba, aqua porn, aqua hentai, aqua xxx, naked aqua, aqua cosplay, aqua blowjob, aqua porn videos, konosuba aqua sex, aqua parody porn, aqua hentai videos, aqua nude hentai</t>
  </si>
  <si>
    <t>goblin slayer, goblin slayer porn, goblin slayer hentai, goblin slayer xxx, cow girl porn, priestess porn, goblin slayer parody, goblin slayer cosplay, cow girl hentai, priestess hentai, goblin slayer sex, goblin slayer videos</t>
  </si>
  <si>
    <t>cow girl goblin slayer, cow girl porn, goblin slayer cow girl hentai, cow girl xxx, naked cow girl, cow girl cosplay, cow girl blowjob, cow girl porn videos, goblin slayer cow girl sex, cow girl parody porn, cow girl hentai videos, cow girl nude hentai</t>
  </si>
  <si>
    <t>priestess goblin slayer, priestess porn, priestess hentai, priestess xxx, naked priestess, priestess cosplay, priestess blowjob, priestess porn videos, goblin slayer priestess sex, priestess parody porn, priestess hentai videos, priestess nude hentai</t>
  </si>
  <si>
    <t>elsa, elsa porn, frozen elsa porn, elsa cosplay, elsa hentai, elsa xxx, frozen parody, naked elsa, elsa blowjob, elsa nude hentai, elsa parody porn, elsa videos</t>
  </si>
  <si>
    <t>anna frozen, anna porn, anna frozen cosplay, anna hentai, anna xxx, frozen anna nude, naked anna, frozen parody porn, anna blowjob, anna hentai videos, anna porn videos, anna parody</t>
  </si>
  <si>
    <t>rapunzel, rapunzel porn, tangled rapunzel porn, rapunzel cosplay, rapunzel hentai, rapunzel xxx, naked rapunzel, rapunzel blowjob, rapunzel nude hentai, rapunzel parody porn, rapunzel hentai videos, rapunzel videos</t>
  </si>
  <si>
    <t>moana, moana porn, moana cosplay, moana hentai, moana xxx, naked moana, moana parody, moana blowjob, moana nude hentai, moana parody porn, moana hentai videos, moana videos</t>
  </si>
  <si>
    <t>ariel little mermaid, ariel porn, ariel cosplay, ariel hentai, ariel xxx, naked ariel, ariel blowjob, ariel nude hentai, ariel parody porn, ariel hentai videos, ariel videos, ariel parody</t>
  </si>
  <si>
    <t>jasmine aladdin, jasmine porn, jasmine cosplay, jasmine hentai, jasmine xxx, naked jasmine, jasmine blowjob, jasmine nude hentai, jasmine parody porn, jasmine hentai videos, jasmine videos, jasmine parody</t>
  </si>
  <si>
    <t>belle beauty and the beast, belle porn, belle cosplay, belle hentai, belle xxx, naked belle, belle blowjob, belle nude hentai, belle parody porn, belle hentai videos, belle videos</t>
  </si>
  <si>
    <t>meg hercules, meg porn, meg cosplay, meg hentai, meg xxx, naked meg, meg blowjob, meg nude hentai, meg parody porn, meg hentai videos, meg videos</t>
  </si>
  <si>
    <t>tinkerbell, tinkerbell porn, tinkerbell cosplay, tinkerbell hentai, tinkerbell xxx, naked tinkerbell, tinkerbell blowjob, tinkerbell nude hentai, tinkerbell parody porn, tinkerbell hentai videos, tinkerbell videos</t>
  </si>
  <si>
    <t>lola bunny, lola bunny porn, lola hentai, lola bunny xxx, naked lola bunny, lola bunny cosplay, lola bunny blowjob, lola bunny porn videos, lola bunny parody porn, lola hentai videos, lola nude hentai</t>
  </si>
  <si>
    <t>jessica rabbit, jessica rabbit porn, jessica hentai, jessica rabbit xxx, naked jessica, jessica rabbit cosplay, jessica rabbit blowjob, jessica rabbit porn videos, jessica rabbit parody porn, jessica hentai videos, jessica rabbit nude hentai</t>
  </si>
  <si>
    <t>ai porn, ai generated porn, ai xxx, ai porn videos, ai nsfw, ai porn site, ai nudes, ai adult content, ai porn free, ai sex images, ai porn pics, ai porn generator</t>
  </si>
  <si>
    <t>ai hentai, ai hentai porn, ai generated hentai, ai hentai xxx, ai doujin, ai hentai pics, ai hentai videos, ai anime hentai, ai waifu porn, ai anime girl porn, ai hentai gif, ai anime xxx</t>
  </si>
  <si>
    <t>One Word</t>
  </si>
  <si>
    <t>CPA</t>
  </si>
  <si>
    <t>Launch</t>
  </si>
  <si>
    <t>All Platform</t>
  </si>
  <si>
    <t>Split Platform</t>
  </si>
  <si>
    <t>stripper; stripper porn; stripper blowjob; stripper sex; stripper xxx; stripper amateur; hot stripper; busty stripper; stripper videos; teen stripper; stripper dancing; stripper anal</t>
  </si>
  <si>
    <t>maid; maid porn; sexy maid; hot maid; french maid porn; maid blowjob; maid xxx; maid anal; maid milf; maid videos; naughty maid; asian maid</t>
  </si>
  <si>
    <t>femdom; femdom porn; femdom domination; femdom mistress; femdom milf; femdom slave; femdom fetish; femdom ass worship; femdom xxx; femdom pegging; femdom handjob; femdom cum</t>
  </si>
  <si>
    <t>ahegao; ahegao porn; ahegao face; hentai ahegao; anime ahegao; cum ahegao; ahegao compilation; ahegao xxx; asian ahegao; ahegao teen; cosplay ahegao; big tits ahegao</t>
  </si>
  <si>
    <t>pregnant; pregnant porn; pregnant milf; pregnant teen; pregnant sex; pregnant creampie; pregnant blowjob; pregnant fetish; pregnant xxx; pregnant lesbian; pregnant anal; pregnant compilation</t>
  </si>
  <si>
    <t>goth; goth porn; goth girl; hot goth; goth blowjob; goth sex; goth amateur; goth anal; goth milf; goth xxx; goth cumshot; emo porn</t>
  </si>
  <si>
    <t>latex; latex porn; latex fetish; sexy latex; latex bdsm; latex xxx; latex mistress; latex milf; latex gloves fetish; latex anal; latex blowjob; latex videos</t>
  </si>
  <si>
    <t>feet; foot fetish; feet porn; sexy feet; feet worship; footjob; feet licking; feet xxx; feet cumshot; feet tease; feet milf; feet pics</t>
  </si>
  <si>
    <t>public; public porn; public sex; in public; public blowjob; public xxx; public fap; public fetish; public creampie; public amateur; public flashing; outdoor sex</t>
  </si>
  <si>
    <t>orgy; orgy porn; orgy sex; group sex; amateur orgy; teen orgy; milf orgy; interracial orgy; lesbian orgy; orgy xxx; sex party porn; hardcore orgy</t>
  </si>
  <si>
    <t>straight; straight porn; straight sex; straight couple sex; straight amateur; straight videos; straight blowjob; straight xxx; straight anal; straight creampie; straight fuck; straight teens</t>
  </si>
  <si>
    <t>fisting; fisting porn; anal fisting; double fisting; fist fuck; hardcore fisting; lesbian fisting; milf fisting; fisting xxx; fisting compilation; extreme fisting; teen fisting</t>
  </si>
  <si>
    <t>demon; demon porn; demon hentai; demon sex; demon xxx; demon milf; demon blowjob; demon creampie; demon gangbang; demon anime; demon compilation; demon tentacle</t>
  </si>
  <si>
    <t>hotel; hotel porn; hotel sex; hotel room sex; hotel amateur; hotel milf; hotel blowjob; hotel anal; hotel xxx; hotel fuck; cheating in hotel; hotel compilation</t>
  </si>
  <si>
    <t>monster; monster porn; monster hentai; monster sex; monster girl hentai; monster milf; monster xxx; monster blowjob; monster anime; monster gangbang; monster compilation; monster creampie</t>
  </si>
  <si>
    <t>facesitting; facesitting porn; facesitting milf; facesitting xxx; smother porn; facesitting domination; facesitting slave; bbw facesitting; lesbian facesitting; facesitting blowjob; facesitting anal; facesitting fetish</t>
  </si>
  <si>
    <t>japanese; japanese porn; japanese sex; japanese teen; japanese milf; japanese creampie; japanese big tits; japanese blowjob; japanese amateur; japanese xxx; japanese video; hot japanese</t>
  </si>
  <si>
    <t>lesbian; lesbian porn; hot lesbians; lesbian sex; girl on girl; lesbian video; lesbian kiss; lesbian pussy licking; ebony lesbian; asian lesbian; lesbian hardcore; lesbian amateur</t>
  </si>
  <si>
    <t>petite; petite porn; petite teen; sexy petite; petite milf; petite anal; petite blowjob; petite xxx; petite creampie; petite videos; petite ass; tiny girl porn</t>
  </si>
  <si>
    <t>Disney; Ariel; Belle; Jasmine; Disney sex; Disney fantasy; Disney encounter; Disney lovers; Disney relationship; Disney princess; Disney character; Disney movie</t>
  </si>
  <si>
    <t>misty; misty porn; pokemon misty porn; pokemon misty hentai; misty xxx; naked misty; misty cosplay; misty nude; pokemon girl misty; misty blowjob; misty sex; misty hentai videos</t>
  </si>
  <si>
    <t>threesome; threesome porn; threesome sex; threesome xxx; threesome blowjob; mff threesome; mmf threesome; bisexual threesome; threesome with milf; threesome creampie; amateur threesome; big tits threesome</t>
  </si>
  <si>
    <t>pov; pov porn; pov sex; pov blowjob; pov creampie; pov anal; pov teen; pov amateur; deepthroat pov; pov cumshot; pov xxx; pov milf</t>
  </si>
  <si>
    <t>Handjob; Hand job; Handjob fantasy; Handjob encounter; Handjob lovers; Handjob relationship; Handjob technique; Handjob pleasure; Handjob tips; Handjob guide; Handjob training</t>
  </si>
  <si>
    <t>office; office porn; office sex; sexy secretary; office milf; office blowjob; office creampie; office xxx; naughty office; boss and secretary; office anal; office fuck</t>
  </si>
  <si>
    <t>Fantasy; Fantasy sex; Fantasy encounter; Fantasy lovers; Fantasy relationship; Fantasy adventure; Fantasy world; Fantasy heroine; Fantasy romance; Fantasy quest; Fantasy magic; Fantasy hero</t>
  </si>
  <si>
    <t>AI; AI sex; AI fantasy; AI encounter; AI lovers; AI relationship; AI pleasure; AI experience; AI technology; AI assistant; AI companion; AI future</t>
  </si>
  <si>
    <t>casting; casting porn; casting couch; casting sex; casting blowjob; casting xxx; amateur casting; casting anal; casting creampie; casting milf; casting teen; porn audition</t>
  </si>
  <si>
    <t>asian; asian porn; asian pussy; sexy asian; asian teen; asian milf; hot asian; asian creampie; asian xxx; asian girls; asian amateur; asian video</t>
  </si>
  <si>
    <t>squirt; squirt porn; squirting sex; squirt compilation; hot squirt; squirt orgasm; pussy squirt; squirt xxx; teen squirt; milf squirt; hardcore squirting; squirt facial</t>
  </si>
  <si>
    <t>bdsm; bdsm porn; bdsm sex; bdsm xxx; bdsm girl; bdsm slave; bdsm blowjob; bdsm anal; bdsm mistress; bdsm milf; bdsm fetish; hardcore bdsm; bdsm video</t>
  </si>
  <si>
    <t>mature; mature porn; mature milf; mature woman; sexy mature; mature anal; mature creampie; mature big tits; mature xxx; mature blowjob; mature threesome; mature amateur</t>
  </si>
  <si>
    <t>clown; clown porn; clown sex; clown xxx; clown blowjob; clown milf; clown fetish; clown roleplay; clown compilation; clown anal; clown lingerie porn; clown gangbang</t>
  </si>
  <si>
    <t>stepmom; stepmom porn; hot stepmom; stepmom sex; mature stepmom; big tits stepmom; naughty stepmom; sexy stepmom; stepmom blowjob; stepmom videos; milf stepmom; stepmom anal</t>
  </si>
  <si>
    <t>club; club porn; sex club; swinger club; club sex video; club gangbang; night club porn; club orgy; club xxx; club fuck; club amateur; club teens</t>
  </si>
  <si>
    <t>witch; witch porn; witch milf; witch sex; witch xxx; sexy witch; hentai witch; witch fetish; witch blowjob; witch strip; halloween witch porn; demon witch sex</t>
  </si>
  <si>
    <t>spanish; spanish porn; spanish sex; spanish milf; spanish teen; spanish anal; spanish blowjob; spanish videos; hot spanish girl; spanish xxx; spanish amateur; spanish creampie</t>
  </si>
  <si>
    <t>triple; triple penetration porn; triple xxx; triple sex; triple milf; triple fetish; triple anal; double anal triple; triple creampie; triple blowjob; hardcore triple; triple gangbang</t>
  </si>
  <si>
    <t>milking; milking porn; cock milking; milking fetish; milking machine; milking xxx; milking blowjob; milking domination; prostate milking; milking creampie; milking video; milking orgasm</t>
  </si>
  <si>
    <t>machine; sex machine porn; fucking machine; machine penetration; machine xxx; machine blowjob; machine anal; machine milf; machine dildo; sex machine milfs; extreme machine; bondage machine</t>
  </si>
  <si>
    <t>master; master porn; master domination; bdsm master; master xxx; master milf; master fetish; sex master; master blowjob; master anal; master roleplay; master video</t>
  </si>
  <si>
    <t>toilet; toilet porn; toilet fetish; toilet xxx; toilet milf; toilet domination; toilet anal; toilet blowjob; using toilet fetish; toilet roleplay; extreme toilet play; toilet cam</t>
  </si>
  <si>
    <t>trans; trans porn; shemale porn; shemale sex; sexy trans girl; trans cam; trans video; trans fetish; trans blowjob; shemale anal; trans big tits; shemale cock</t>
  </si>
  <si>
    <t>rope; rope porn; rope bondage; rope milf; rope xxx; rope sex; rope blowjob; japanese rope; rope fetish; rope slave; rope milf sex; rope amateur</t>
  </si>
  <si>
    <t>dental; dental porn; dentist fetish; dental xxx; dental sex; dental blowjob; dentist milf; dental compilation; dental tools fetish; patient dentist porn; dental anal; dental videos</t>
  </si>
  <si>
    <t>stepsister; stepsister porn; sexy stepsister; stepsister sex; stepsister blowjob; stepsister xxx; teen stepsister; horny stepsister; naughty stepsister; stepsister anal; stepsister creampie; stepsister fuck</t>
  </si>
  <si>
    <t>roleplay; roleplay porn; roleplay sex; naughty roleplay; milf roleplay; cosplay roleplay; teacher roleplay; nurse roleplay; couple roleplay; bdsm roleplay; roleplay blowjobs; roleplay xxx</t>
  </si>
  <si>
    <t>edging; edging porn; edging fetish; orgasm control porn; edging sex; edging domination; denying orgasm; edging compilation; edging milf; edging xxx; edging blowjob; edge play</t>
  </si>
  <si>
    <t>lingerie; lingerie porn; sexy lingerie; hot lingerie; lingerie milf; lingerie teen; lingerie xxx; lingerie cum; lingerie strip; lingerie blowjob; lingerie anal; naughty lingerie</t>
  </si>
  <si>
    <t>bbc; bbc porn; big black cock; bbc sex; bbc milf; asian bbc; white girl bbc; bbc blowjob; bbc anal; bbc creampie; bbc gangbang; bbc xxx</t>
  </si>
  <si>
    <t>cuckold; cuckold porn; cuckold sex; hotwife cuckold; amateur cuckold; cuckold creampie; cuckold bbc; cuckold humiliation; cuckold xxx; interracial cuckold; cuckold gangbang; cuckold amateur</t>
  </si>
  <si>
    <t>interracial; interracial porn; interracial sex; interracial creampie; interracial bbc; interracial milf; hot interracial; asian interracial; latina interracial; interracial anal; interracial blowjob; interracial xxx</t>
  </si>
  <si>
    <t>milf; milf porn; sexy milf; hot milf; milf video; milf sex; mature milf; married milf; busty milf; milf xxx; milf fuck; milf clips</t>
  </si>
  <si>
    <t>belly; belly porn; belly fetish; belly milf; belly sex; belly licking; belly cumshot; belly videos; pregnant belly porn; belly rub porn; belly button fetish; belly xxx</t>
  </si>
  <si>
    <t>JOI; JERK off instructions; Jerk Off Instructions; JOI sex; JOI fantasy; JOI encounter; JOI lovers; JOI relationship; JOI pleasure; JOI experience; JOI community; JOI fan; JOI content; JOI event</t>
  </si>
  <si>
    <t>creampie; creampie porn; creampie sex; creampie xxx; creampie compilation; anal creampie; asian creampie; teen creampie; creampie gangbang; double creampie; pov creampie; milf creampie</t>
  </si>
  <si>
    <t>power; power porn; power hentai; power xxx; naked power; power cosplay; power blowjob; power porn videos; chainsaw man power sex; power parody porn; power hentai videos; power nude hentai</t>
  </si>
  <si>
    <t>wife; wife sex; sexy wife; hot wife; cheating wife; amateur wife; wife videos; wife swap; wife porn; mature wife; wife xxx; wife sharing</t>
  </si>
  <si>
    <t>hairy; hairy porn; hairy pussy; hairy milf; hairy teen; hairy creampie; hairy xxx; hairy blowjob; natural hairy porn; hairy anal; hairy fetish; hairy vintage porn</t>
  </si>
  <si>
    <t>emo; emo porn; emo teen; sexy emo; emo blowjob; emo sex; emo xxx; emo anal; emo milf; emo amateur; emo creampie; emo goth</t>
  </si>
  <si>
    <t>alien; alien porn; alien sex; alien hentai; alien milf; alien xxx; alien fetish; alien blowjob; alien compilation; alien gangbang; alien roleplay; alien anime porn</t>
  </si>
  <si>
    <t>doll; doll porn; sex doll porn; doll fetish; doll sex; life size doll porn; inflatable doll porn; doll milf; doll blowjob; doll xxx; doll videos; doll cosplay</t>
  </si>
  <si>
    <t>pinay; pinay porn; sexy pinay; pinay sex; hot pinay; filipina porn; filipina sex; pinay video; pinay amateur; filipina milf; filipina xxx; pinay scandal</t>
  </si>
  <si>
    <t>maledom; maledom porn; male domination porn; maledom bdsm; maledom milf; maledom teen; maledom xxx; male dominating female; maledom blowjob; maledom anal; maledom slaves; alpha male porn</t>
  </si>
  <si>
    <t>french; french porn; french sex; french teen; french milf; french blowjob; french anal; french xxx; hot french girl; french amateur; french creampie; french videos</t>
  </si>
  <si>
    <t>italian; italian porn; italian sex; italian milf; italian teen; italian blowjob; italian anal; italian xxx; italian amateur; hot italian girl; italian creampie; italian videos</t>
  </si>
  <si>
    <t>medical; medical porn; doctor fetish; nurse fetish; gyno exam porn; medical sex; hospital porn; medical xxx; medical milf; sexy doctor; patient nurse sex; medical roleplay</t>
  </si>
  <si>
    <t>gangbang; gangbang porn; gangbang sex; gangbang xxx; teen gangbang; gangbang milf; gangbang creampie; gangbang bbc; asian gangbang; gangbang video; interracial gangbang; gangbang sex party; hardcore gangbang</t>
  </si>
  <si>
    <t>pantyhose; pantyhose porn; sexy pantyhose; pantyhose fetish; pantyhose milf; pantyhose teen; pantyhose blowjob; pantyhose anal; pantyhose xxx; milf in pantyhose; pantyhose cumshot; hot pantyhose</t>
  </si>
  <si>
    <t>whipping; whipping porn; whipping fetish; whipping milf; whipping bdsm; whipping domination; whipping girl; whipping videos; whipping slave; whipping xxx; whipping compilation; whipping roleplay</t>
  </si>
  <si>
    <t>nami; nami porn; nami hentai; nami xxx; naked nami; nami cosplay; nami blowjob; nami porn videos; one piece nami sex; nami parody porn; nami hentai videos; nami nude hentai</t>
  </si>
  <si>
    <t>denial; orgasm denial; denial fetish; denial porn; denial xxx; denial compilation; denial milf; denial domination; denial sex; denial blowjob; orgasm denial bdsm; cum denial</t>
  </si>
  <si>
    <t>redhead; redhead porn; hot redhead; sexy redhead; redhead teen; redhead milf; busty redhead; redhead xxx; ginger porn; redhead blowjob; redhead anal; natural redhead</t>
  </si>
  <si>
    <t>link; link porn; link hentai; link xxx; naked link; link cosplay; link blowjob; link porn videos; link zelda sex; link parody porn; link hentai videos; link nude hentai</t>
  </si>
  <si>
    <t>tattoo; tattooed porn; tattoo milf; tattooed teen; tattoo sex; tattoo blowjob; tattoo creampie; tattoo girl xxx; hot tattoo porn; busty tattoo girl; tattoo anal; tattoo compilation</t>
  </si>
  <si>
    <t>fetish; fetish porn; fetish sex; bdsm fetish; fetish xxx; foot fetish; fetish latex; asian fetish; fetish milf; fetish blowjob; kinky fetish; fetish video</t>
  </si>
  <si>
    <t>thailand; thai porn; thai sex; thai teen; thai blowjob; thai milf; thai xxx; hot thai girl; thai anal; thai amateur; thai creampie; thai videos</t>
  </si>
  <si>
    <t>bleach; bleach porn; bleach hentai; bleach xxx; rangiku porn; orihime porn; bleach cosplay; bleach parody; rangiku hentai; orihime hentai; bleach sex; bleach porn videos</t>
  </si>
  <si>
    <t>dp; double penetration; dp porn; dp milf; anal dp; dp xxx; dp compilation; double anal; dp gangbang; dp fetish; dp amateur; dp teen</t>
  </si>
  <si>
    <t>enema; enema porn; enema fetish; enema sex; enema milf; anal enema; enema xxx; enema videos; extreme enema; enema domination; enema play; cosplay enema</t>
  </si>
  <si>
    <t>bondage; bondage porn; bondage sex; bondage xxx; bondage milf; japanese bondage; hardcore bondage; teen bondage; handcuff porn; rope bondage; leather bondage; bdsm bondage</t>
  </si>
  <si>
    <t>da; double anal porn; double anal sex; double anal milf; double anal teen; double anal xxx; extreme double anal; double anal gangbang; double anal fetish; double anal compilation; double anal rough; double anal amateur</t>
  </si>
  <si>
    <t>thick; thick porn; thick girl; thick milf; sexy thick; thick amateur; bbw thick; thick latina; thick anal; thick blowjob; thick ass; thick xxx</t>
  </si>
  <si>
    <t>saber; saber porn; saber hentai; saber xxx; naked saber; saber cosplay; saber blowjob; saber porn videos; fate saber sex; saber parody porn; saber hentai videos; saber nude hentai</t>
  </si>
  <si>
    <t>massage; erotic massage; massage sex; massage porn; asian massage; nuru massage; happy ending massage; hot massage; massage milf; massage video; nuru sex; massage blowjob</t>
  </si>
  <si>
    <t>spanking; spanking porn; spanking fetish; spanking milf; anal spanking; teen spanking; lesbian spanking; spanking xxx; spanking ass; spanking video; bdsm spanking; hand spanking</t>
  </si>
  <si>
    <t>slave; slave porn; bdsm slave; slave milf; leather slave; slave xxx; slave girl; slave anal; slave blowjob; submissive slave porn; slave punishment; bdsm slave girl</t>
  </si>
  <si>
    <t>armpit; armpit fetish; armpit licking; armpit porn; armpit sex; armpit milf; armpit licking videos; armpit xxx; armpit compilation; armpit worship; armpit blowjob; lesbian armpit</t>
  </si>
  <si>
    <t>moana; moana porn; moana cosplay; moana hentai; moana xxx; naked moana; moana parody; moana blowjob; moana nude hentai; moana parody porn; moana hentai videos; moana videos</t>
  </si>
  <si>
    <t>giant; giant porn; giant fetish; giant milf; giant xxx; giant domination; giant sex; giant feet fetish; giantess roleplay; giant blowjob; giant crush; macro fetish</t>
  </si>
  <si>
    <t>shower; shower porn; shower sex; hot shower; shower teen; shower milf; shower blowjob; shower xxx; shower masturbation; shower lesbian; shower anal; shower videos</t>
  </si>
  <si>
    <t>mask; masked porn; masked sex; mask fetish; mask milf; mask blowjob; masked xxx; sexy mask; gas mask fetish; latex mask porn; masked compilation; masked anal</t>
  </si>
  <si>
    <t>nun; nun porn; sexy nun; nun milf; nun xxx; naughty nun; nun blowjob; nun anal; nun fetish; nun creampie; nun masturbation; nun costume porn</t>
  </si>
  <si>
    <t>Marvel; Black Widow; Captain Marvel; Scarlet Witch; Marvel sex; Marvel fantasy; Marvel encounter; Marvel lovers; Marvel relationship; Marvel superhero; Marvel comic; Marvel movie</t>
  </si>
  <si>
    <t>angel; angel porn; hentai angel; angel sex; angel milf; angel creampie; angel blowjob; fallen angel porn; angel xxx; angel gangbang; angel fetish; angel anime hentai</t>
  </si>
  <si>
    <t>vore; vore porn; vore fetish; vore hentai; vore sex; vore xxx; vore milf; vore domination; vore anime; vore giantess; vore video; vore hardcore</t>
  </si>
  <si>
    <t>college; college porn; college sex; college teens; hot college girls; college gangbang; college lesbians; college creampie; college amateur; college party porn; college blowjob; college xxx</t>
  </si>
  <si>
    <t>elsa; elsa porn; frozen elsa porn; elsa cosplay; elsa hentai; elsa xxx; frozen parody; naked elsa; elsa blowjob; elsa nude hentai; elsa parody porn; elsa videos</t>
  </si>
  <si>
    <t>lactation; lactation porn; lactating milf; lactating tits; lactation fetish; lactating blowjob; lactation sex; lactation xxx; lactating compilation; lactating lesbian; lactating anal; milk porn</t>
  </si>
  <si>
    <t>russian; russian porn; russian teen; russian milf; russian blowjob; hot russian girl; russian anal; russian creampie; russian xxx; russian amateur; russian sex video; russian gangbang</t>
  </si>
  <si>
    <t>rimjob; rimjob porn; anal licking; ass licking; rimjob milf; rimjob xxx; rimjob porn videos; rimjob compilation; rimjob fetish; rimjob bdsm; rimjob lesbian; rimjob teen</t>
  </si>
  <si>
    <t>slime; slime porn; slime sex; slime hentai; slime fetish; slime milf; slime xxx; slime anime; slime blowjob; slime compilation; slime creampie; slime tentacle porn</t>
  </si>
  <si>
    <t>bbw; bbw porn; big beautiful women; bbw sex; bbw milf; bbw anal; bbw blowjob; busty bbw; bbw xxx; fat girl porn; bbw creampie; bbw compilation</t>
  </si>
  <si>
    <t>secretary; secretary porn; hot secretary; sexy secretary milf; secretary blowjob; naughty secretary; secretary creampie; milf secretary; secretary anal; secretary strip; secretary xxx; secretary fuck</t>
  </si>
  <si>
    <t>leather; leather fetish; leather porn; sexy leather; leather milf; leather bdsm; leather xxx; leather mistress; leather lingerie; leather anal; leather blowjob; leather hot</t>
  </si>
  <si>
    <t>teacher; teacher porn; naughty teacher; sexy teacher; milf teacher; strict teacher; schoolgirl teacher; teacher blowjob; young teacher; hot teacher sex; teacher and student; roleplay teacher</t>
  </si>
  <si>
    <t>gaping; gaping porn; gaping anal; extreme gaping; pussy gaping; gape fetish; gape xxx; anal gape; pussy gape; gape dildo; gape milf; gape teen</t>
  </si>
  <si>
    <t>prostate; prostate massage; prostate fetish; prostate milking; anal prostate play; prostate porn; prostate sex; prostate blowjob; prostate xxx; prostate dildo; prostate videos; prostate stimulation</t>
  </si>
  <si>
    <t>german; german porn; german milf; german sex; german teen; german xxx; german blowjob; german anal; german videos; german creampie; hot german; german amateur</t>
  </si>
  <si>
    <t>korean; korean porn; korean sex; hot korean girl; korean blowjob; korean milf; korean teen; korean amateur; korean xxx; korean anal; korean video; korean creampie</t>
  </si>
  <si>
    <t>uniform; uniform porn; uniform sex; sexy uniform; schoolgirl uniform; nurse uniform; police uniform porn; milf in uniform; uniform xxx; uniform blowjob; uniform strip; uniform anal</t>
  </si>
  <si>
    <t>succubus; succubus porn; succubus hentai; succubus sex; succubus xxx; succubus milf; succubus blowjob; succubus domination; succubus creampie; succubus anime; succubus cosplay; succubus gangbang</t>
  </si>
  <si>
    <t>stockings; stockings porn; sexy stockings; stockings tease; milf stockings; teen stockings; stockings blowjob; stockings xxx; stockings ass; stockings sex; stockings anal; stockings strip</t>
  </si>
  <si>
    <t>heels; high heels porn; sexy heels; milf in heels; heels fetish; hot heels; heels xxx; heels sex; heels blowjob; heels anal; heels tease; stiletto porn</t>
  </si>
  <si>
    <t>mummy; mummy porn; mummy milf; mummy sex; mummy xxx; wrapped mummy porn; mummy blowjob; mummy creampie; mummy cosplay; mummy domination; mummy fetish; mummy anal</t>
  </si>
  <si>
    <t>nurse; nurse porn; sexy nurse; hot nurse; naughty nurse; nurse blowjob; nurse sex; milf nurse; nurse xxx; nurse costume; nurse anal; lesbian nurse</t>
  </si>
  <si>
    <t>glasses; glasses porn; sexy glasses; milf with glasses; glasses blowjob; naughty glasses girl; glasses milf; glasses xxx; teen glasses; glasses sex; glasses anal; glasses strip</t>
  </si>
  <si>
    <t>Pegging; Pegging fantasy; Pegging encounter; Pegging lovers; Pegging relationship; Pegging pleasure; Pegging technique; Pegging tips; Pegging guide; Pegging training; Pegging experience</t>
  </si>
  <si>
    <t>Cosplay; Cosplay sex; Cosplay fantasy; Cosplay encounter; Cosplay lovers; Cosplay relationship; Cosplay pleasure; Cosplay experience; Cosplay costume; Cosplay convention; Cosplay character; Cosplay community</t>
  </si>
  <si>
    <t>tickling; tickling porn; tickling fetish; tickling milf; tickling sex; tickling xxx; erotic tickling; torture tickling; female tickling; tied tickling; tickling blowjob; tickling domination</t>
  </si>
  <si>
    <t>Sexdoll; Sex doll; Sex doll fantasy; Sex doll encounter; Sex doll lovers; Sex doll relationship; Sex doll pleasure; Sex doll experience; Sex doll companion; Sex doll owner; Sex doll care; Sex doll shopping</t>
  </si>
  <si>
    <t>robot; robot porn; robot sex; android porn; android sex; robot milf; robot xxx; sex with robot; robot hentai; robot blowjob; robot compilation; robot fantasy</t>
  </si>
  <si>
    <t>Findom; Findom sex; Findom fantasy; Findom encounter; Findom lovers; Findom relationship; Findom pleasure; Findom experience; Findom community; Findom fan; Findom content; Findom event</t>
  </si>
  <si>
    <t>candle; candle wax porn; wax play; candle fetish; candle sex; wax bdsm; candle domination; candle milf; candle xxx; candle videos; candle play compilation; hot wax on body</t>
  </si>
  <si>
    <t>giantess; giantess porn; giantess fetish; giantess sex; giantess xxx; shrunken man porn; giantess milf; giantess domination; giantess ass; giantess blowjob; giantess vore; giantess crush</t>
  </si>
  <si>
    <t>shibari; shibari porn; shibari bondage; japanese shibari; shibari rope; shibari milf; shibari xxx; shibari fetish; shibari video; shibari sex; rope bondage; shibari ties</t>
  </si>
  <si>
    <t>vampire; vampire porn; vampire milf; vampire sex; vampire xxx; vampire blowjob; vampire creampie; vampire gangbang; vampire domination; vampire cosplay; vampire fetish; sexy vampire</t>
  </si>
  <si>
    <t>jinx; jinx porn; jinx hentai; jinx xxx; naked jinx; jinx cosplay; jinx blowjob; jinx porn videos; lol jinx sex; jinx parody porn; jinx hentai videos; jinx nude hentai</t>
  </si>
  <si>
    <t>diaper; diaper porn; diaper fetish; adult baby diaper lover; diaper xxx; diaper milf; diaper sex; diaper roleplay; diaper domination; diaper videos; diaper stripping; diaper humiliation</t>
  </si>
  <si>
    <t>neko; neko porn; neko hentai; neko girls porn; catgirl porn; catgirl hentai; neko xxx; neko cosplay; neko blowjob; neko maid porn; anime catgirl porn; neko creampie</t>
  </si>
  <si>
    <t>zombie; zombie porn; zombie sex; zombie milf; zombie xxx; zombie blowjob; zombie gangbang; zombie lesbian; zombie roleplay; zombie fetish; zombie hentai; zombie creampie</t>
  </si>
  <si>
    <t>ageplay; ageplay porn; ageplay kink; ageplay milf; ageplay sex; daddy daughter ageplay; mommy son ageplay; ageplay xxx; ageplay roleplay; taboo ageplay; ageplay blowjob; ageplay anal</t>
  </si>
  <si>
    <t>mannequin; mannequin porn; mannequin fetish; mannequin sex; mannequin milf; mannequin blowjob; mannequin xxx; mannequin video; mannequin cosplay; mannequin domination; mannequin creampie; mannequin strip</t>
  </si>
  <si>
    <t>overwatch; overwatch porn; overwatch hentai; overwatch xxx; tracer porn; mercy porn; overwatch parody; overwatch cosplay; tracer hentai; mercy hentai; overwatch sex; overwatch videos</t>
  </si>
  <si>
    <t>zelda; zelda porn; zelda hentai; zelda xxx; naked zelda; zelda cosplay; zelda blowjob; zelda porn videos; link zelda sex; zelda parody porn; zelda hentai videos; zelda nude hentai</t>
  </si>
  <si>
    <t>trampling; trampling porn; trampling fetish; trampling milf; trampling xxx; trampling heels; trampling feet; trampling bdsm; trampling face; trampling video; trampling domination; trampling milf fetish</t>
  </si>
  <si>
    <t>Vtuber; Vtuber sex; Vtuber fantasy; Vtuber encounter; Vtuber lovers; Vtuber relationship; Vtuber pleasure; Vtuber experience; Vtuber stream; Vtuber community; Vtuber fan; Vtuber content</t>
  </si>
  <si>
    <t>Cowgirl; Cow girl; POV cowgirl; Cowgirl sex; Cowgirl fantasy; Cowgirl position; Cowgirl encounter; Cowgirl lovers; Cowgirl relationship; Cowgirl ride; Cowgirl style; Cowgirl pleasure</t>
  </si>
  <si>
    <t>ebony; ebony porn; ebony sex; hot ebony; ebony bbw; ebony milf; ebony dildo; ebony xxx; ebony blowjob; ebony big tits; ebony teen; ebony amateur; ebony anal</t>
  </si>
  <si>
    <t>Free use; Free use sex; Free use fantasy; Free use encounter; Free use lovers; Free use relationship; Free use pleasure; Free use experience; Free use content; Free use platform; Free use access; Free use membership</t>
  </si>
  <si>
    <t>Furry; Furry sex; Furry fantasy; Furry encounter; Furry lovers; Furry relationship; Furry pleasure; Furry experience; Furry character; Furry community; Furry fan; Furry content</t>
  </si>
  <si>
    <t>hentai; hentai porn; free hentai; hentai sex; uncensored hentai; xxx hentai; hentai video; hentai streaming; hentai animation; 3d hentai; japanese hentai; cartoon hentai</t>
  </si>
  <si>
    <t>anal; anal porn; anal sex; anal video; hardcore anal; teen anal; anal creampie; anal xxx; rough anal; anal gf; first anal; anal clips</t>
  </si>
  <si>
    <t>big ass; big ass porn; sexy ass; latina big ass; huge ass; big booty; big butt; phat ass; round ass; ass worship; ass sex; juicy ass</t>
  </si>
  <si>
    <t>anime; anime porn; anime xxx; anime sex; anime girl porn; anime hardcore; anime blowjob; anime cosplay sex; anime hentai; anime 3d; cartoon sex anime; naughty anime</t>
  </si>
  <si>
    <t>latina; latina porn; sexy latina; hot latina; latina girls; big ass latina; latina milf; latina teen; latina xxx; latina video; latina blowjob; latina anal</t>
  </si>
  <si>
    <t>animation; animation porn; porn animation; animated xxx; hentai animation; animation sex; animation blowjob; cartoon animation porn; 3d animation porn; animation xxx movie; sexy animation; animation videos</t>
  </si>
  <si>
    <t>big tits; big tits porn; busty porn; big breasts; sexy boobs; milf big tits; huge tits; natural tits; big boobs xxx; big tits video; teen big tits; bbw big tits</t>
  </si>
  <si>
    <t>blowjob; blowjob porn; blowjob compilation; blowjob sex; blowjob videos; blowjob queen; blowjob xxx; deepthroat; blowjob pov; blowjob cumshot; teen blowjob; amateur blowjob</t>
  </si>
  <si>
    <t>3d; 3d porn; 3d hentai; 3d animation; 3d xxx; 3d sex animation; 3d cartoon porn; virtual 3d porn; 3d hentai animation; 3d porn video; 3d fantasy porn; 3d hentai sex</t>
  </si>
  <si>
    <t>real amateur; amateur porn; amateur sex; real amateur sex; amateur couple; homemade porn; amateur wife; amateur blowjob; amateur teen; amateur xxx; real amateur video; amateur strip</t>
  </si>
  <si>
    <t>cartoon; cartoon porn; cartoon sex; cartoon xxx; cartoon hentai; cartoon blowjob; cartoon anal; cartoon creampie; funny cartoon porn; cartoon hentai sex; cartoon videos; cartoon threesome</t>
  </si>
  <si>
    <t>latina milf; latina milf porn; hot latina milf; sexy latina milf; latina milf xxx; latina milf blowjob; latina milf anal; latina milf big tits; latina milf creampie; latina milf video; busty latina milf; latina milf amateur</t>
  </si>
  <si>
    <t>cream pie; creampie porn; creampie sex; creampie teen; creampie milf; creampie gangbang; creampie xxx; creampie anal; asian creampie; latina creampie; creampie compilation; amateur creampie</t>
  </si>
  <si>
    <t>orgasm; orgasm porn; orgasm compilation; pussy orgasm; vibrator orgasm; multiple orgasm; orgasm xxx; orgasm milf; orgasm teen; intense orgasm; orgasm squirting; orgasm videos</t>
  </si>
  <si>
    <t>tentacle; tentacle porn; tentacle hentai; tentacle sex; tentacle xxx; anime tentacle; hentai tentacle; tentacle milf; tentacle bdsm; tentacle ass; tentacle videos; tentacle fantasy</t>
  </si>
  <si>
    <t>mom-son; mom son porn; milf and son; mature mom son; taboo mom son; mom son blowjob; mom son sex; mom son anal; mom son creampie; mom son xxx; stepmom son sex; incest stepmom son</t>
  </si>
  <si>
    <t>dad-daughter; dad daughter porn; father daughter sex; taboo dad daughter; stepdad daughter porn; dad daughter blowjob; dad daughter anal; dad daughter xxx; dad daughter creampie; dad daughter fetish; incest dad daughter; sugar daddy daughter</t>
  </si>
  <si>
    <t>incest; incest porn; taboo incest; incest sex; incest creampie; incest milf; incest anal; incest blowjob; incest xxx; incest compilation; incest family; incest fetish</t>
  </si>
  <si>
    <t>asphyxiation; breath play; breath control porn; erotic asphyxiation; asphyxiation fetish; breath play milf; asphyxiation xxx; breath control bdsm; breath play video; choking porn; choking fetish; air play porn</t>
  </si>
  <si>
    <t>choking; choking porn; choking blowjob; choking fetish; choking bdsm; choking deepthroat; choking milf; choking xxx; choking compilation; choking anal; choking rough; breath play</t>
  </si>
  <si>
    <t>ass worship; ass worship porn; ass worship milf; ass worship lesbian; ass worship videos; ass worship xxx; ass worship compilation; ass worship anal; ass worship bdsm; ass worship fetish; ass worship amateurs; bbw ass worship</t>
  </si>
  <si>
    <t>wetlook; wetlook porn; wetlook fetish; wetlook XXX; wetlook sex; wetlook milf; wet clothes porn; women in wetlook; wetlook blowjob; wetlook anal; wetlook strip; sexy wetlook</t>
  </si>
  <si>
    <t>shrinking; shrinking porn; shrinking fetish; shrinking xxx; giantess shrinking man; shrinking roleplay; shrinking sex; shrinking milf; shrinking videos; tiny man porn; shrinking blowjob; shrinking anal</t>
  </si>
  <si>
    <t>horny gamer; gamer girl porn; gamer milf; gamer cosplay porn; hentai gamer; gamer blowjob; hot gamer girl; gamer xxx; gamer girlfriend porn; playstation girl porn; gamer anal; gamer fetish</t>
  </si>
  <si>
    <t>eyewear; glasses porn; sunglasses fetish; sexy glasses girl; milf in glasses; hentai glasses girl; glasses xxx; eyeglasses porn; glasses blowjob; glasses anal; glasses compilation; glasses cosplay</t>
  </si>
  <si>
    <t>public kink; public fetish porn; public bdsm; public humiliation; public domination; public xxx; public whipping; public blowjob; public anal; public creampie; public strip; outdoor fetish</t>
  </si>
  <si>
    <t>tranny cosplay; trans cosplay porn; trans cosplay sex; shemale cosplay; shemale cosplay xxx; cosplay trans girl; trans hentai cosplay; cosplay shemale; cosplay trans milf; cosplay shemale fetish; cosplay trans blowjob; cosplay trans anime</t>
  </si>
  <si>
    <t>maid cosplay; sexy maid cosplay; maid cosplay porn; maid cosplay sex; maid cosplay blowjob; anime maid cosplay; hentai maid cosplay; french maid cosplay; naughty maid cosplay; maid cosplay milf; maid cosplay strip; cosplay maid xxx</t>
  </si>
  <si>
    <t>gender swap; gender swap porn; gender swap hentai; transformation porn; tg porn; tg transformation hentai; gender swap sex; gender swap xxx; body swap fetish; swap blowjob; swap anal; swap milf</t>
  </si>
  <si>
    <t>pokemon; pokemon porn; pokemon hentai; pokemon xxx; pikachu porn; misty porn; pokemon sex; rule34 pokemon; pokemon blowjob; pokemon cosplay; pokemon hentai videos; pokemon girls</t>
  </si>
  <si>
    <t>renamon; renamon porn; renamon sex; renamon hentai; renamon xxx; renamon blowjob; renamon cosplay; renamon nude; renamon rule34; digimon renamon porn; furry renamon; renamon videos</t>
  </si>
  <si>
    <t>frieren; frieren porn; frieren hentai; frieren xxx; frieren cosplay; frieren nude; frieren blowjob; frieren porn videos; frieren nude hentai; frieren sex; frieren parody; sousou no frieren hentai</t>
  </si>
  <si>
    <t>dragon ball; dragon ball porn; dragon ball hentai; dragon ball xxx; dragon ball z porn; dragon ball super hentai; goku porn; bulma porn; chi chi porn; dragon ball blowjob; dragon ball cosplay; dragon ball parody</t>
  </si>
  <si>
    <t>bulma; bulma porn; bulma hentai; bulma xxx; naked bulma; bulma cosplay; bulma blowjob; bulma porn videos; dragon ball bulma porn; sexy bulma; bulma nude hentai; bulma parody</t>
  </si>
  <si>
    <t>naruto; naruto porn; naruto hentai; naruto xxx; naruto cosplay; naruto blowjob; naruto parody; naruto nude hentai; naruto porn videos; naruto parody porn; naruto hentai sex; naruto anime porn</t>
  </si>
  <si>
    <t>hinata hyuga; hinata porn; hinata hentai; hinata xxx; naked hinata; hinata cosplay; hinata blowjob; hinata porn videos; naruto hinata sex; hinata parody porn; hinata hentai videos; hinata nude hentai</t>
  </si>
  <si>
    <t>one piece; one piece porn; one piece hentai; one piece xxx; nami porn; robin porn; one piece parody; one piece cosplay; nami hentai; robin hentai; one piece sex; one piece porn videos</t>
  </si>
  <si>
    <t>nico robin; robin porn; robin hentai; robin xxx; naked robin; robin cosplay; robin blowjob; robin porn videos; one piece robin sex; robin parody porn; robin hentai videos; robin nude hentai</t>
  </si>
  <si>
    <t>my hero academia; my hero academia porn; mha hentai; mha xxx; ochako porn; toga porn; my hero parody; mha cosplay; ochako hentai; toga hentai; mha sex; my hero xxx videos</t>
  </si>
  <si>
    <t>ochako; ochako porn; ochako hentai; ochako xxx; naked ochako; ochako cosplay; ochako blowjob; ochako porn videos; mha ochako sex; ochako parody; ochako hentai videos; ochako nude hentai</t>
  </si>
  <si>
    <t>toga; toga porn; toga hentai; toga xxx; naked toga; toga cosplay; toga blowjob; toga porn videos; mha toga sex; toga parody porn; toga hentai videos; toga nude hentai</t>
  </si>
  <si>
    <t>attack on titan; aot porn; attack on titan hentai; aot xxx; mikasa porn; annie porn; attack on titan parody; aot cosplay; mikasa hentai; annie hentai; attack on titan sex; aot porn videos</t>
  </si>
  <si>
    <t>mikasa; mikasa porn; mikasa hentai; mikasa xxx; naked mikasa; mikasa cosplay; mikasa blowjob; mikasa porn videos; attack on titan mikasa sex; mikasa parody porn; mikasa hentai videos; mikasa nude hentai</t>
  </si>
  <si>
    <t>demon slayer; demon slayer porn; kimetsu no yaiba porn; demon slayer hentai; demon slayer xxx; nezuko porn; shinobu porn; demon slayer cosplay; demon slayer parody; nezuko hentai; shinobu hentai; demon slayer xxx videos</t>
  </si>
  <si>
    <t>nezuko; nezuko porn; nezuko hentai; nezuko xxx; naked nezuko; nezuko cosplay; nezuko blowjob; nezuko porn videos; demon slayer nezuko sex; nezuko parody porn; nezuko hentai videos; nezuko nude hentai</t>
  </si>
  <si>
    <t>chainsaw man; chainsaw man porn; chainsaw man hentai; csm xxx; makima porn; power porn; chainsaw man cosplay; chainsaw man parody; makima hentai; power hentai; chainsaw man sex; chainsaw man xxx</t>
  </si>
  <si>
    <t>makima; makima porn; makima hentai; makima xxx; naked makima; makima cosplay; makima blowjob; makima porn videos; chainsaw man makima sex; makima parody porn; makima hentai videos; makima nude hentai</t>
  </si>
  <si>
    <t>orihime; orihime porn; orihime hentai; orihime xxx; naked orihime; orihime cosplay; orihime blowjob; bleach orihime porn; orihime parody; orihime hentai videos; orihime porn vids; bleach orihime hentai</t>
  </si>
  <si>
    <t>rangiku; rangiku porn; rangiku hentai; rangiku xxx; naked rangiku; rangiku cosplay; rangiku blowjob; bleach rangiku porn; rangiku parody; rangiku hentai videos; rangiku nude hentai; bleach rangiku parody</t>
  </si>
  <si>
    <t>fairy tail; fairy tail porn; fairy tail hentai; fairy tail xxx; erza porn; lucy porn; fairy tail cosplay; fairy tail parody; erza hentai; lucy hentai; fairy tail sex; fairy tail videos</t>
  </si>
  <si>
    <t>erza scarlet; erza porn; erza hentai; erza xxx; naked erza; erza cosplay; erza blowjob; erza porn videos; fairy tail erza sex; erza parody porn; erza hentai videos; erza nude hentai</t>
  </si>
  <si>
    <t>lucy heartfilia; lucy porn; lucy hentai; lucy xxx; naked lucy; lucy cosplay; lucy blowjob; lucy porn videos; fairy tail lucy sex; lucy parody porn; lucy hentai videos; lucy nude hentai</t>
  </si>
  <si>
    <t>spy x family; spy x family porn; spy family hentai; spy family xxx; yor porn; anya porn; spy family cosplay; spy family parody; yor hentai; anya hentai; spy family sex; spy family videos</t>
  </si>
  <si>
    <t>yor forger; yor porn; yor hentai; yor xxx; naked yor; yor cosplay; yor blowjob; spy family yor porn; yor parody; yor hentai videos; yor nude hentai; spy family yor sex</t>
  </si>
  <si>
    <t>jujutsu kaisen; jujutsu kaisen porn; jjk hentai; jjk xxx; nobara porn; maki porn; jjk parody; jjk cosplay; nobara hentai; maki hentai; jujutsu kaisen sex; jjk porn videos</t>
  </si>
  <si>
    <t>nobara kugisaki; nobara porn; nobara hentai; nobara xxx; naked nobara; nobara cosplay; nobara blowjob; nobara porn videos; jjk nobara sex; nobara parody porn; nobara hentai videos; nobara nude hentai</t>
  </si>
  <si>
    <t>inuyasha; inuyasha porn; inuyasha hentai; inuyasha xxx; kagome porn; sango porn; inuyasha parody; inuyasha cosplay; kagome hentai; sango hentai; inuyasha sex; inuyasha videos</t>
  </si>
  <si>
    <t>kagome; kagome porn; kagome hentai; kagome xxx; naked kagome; kagome cosplay; kagome blowjob; kagome porn videos; inuyasha kagome sex; kagome parody porn; kagome hentai videos; kagome nude hentai</t>
  </si>
  <si>
    <t>sailor moon; sailor moon porn; sailor moon hentai; sailor moon xxx; usagi porn; sailor mars porn; sailor moon parody; sailor moon cosplay; usagi hentai; mars hentai; sailor moon sex; sailor moon porn vids</t>
  </si>
  <si>
    <t>usagi tsukino; usagi porn; usagi hentai; usagi xxx; naked usagi; usagi cosplay; usagi blowjob; sailor moon usagi sex; usagi parody porn; usagi hentai videos; usagi nude hentai; usagi parody</t>
  </si>
  <si>
    <t>pokemon misty team rocket; jessie porn; jessie hentai; jessie xxx; naked jessie; jessie cosplay; jessie blowjob; jessie porn videos; team rocket sex; jessie parody porn; jessie hentai videos; jessie nude hentai</t>
  </si>
  <si>
    <t>league of legends; lol porn; lol hentai; lol xxx; ahri porn; jinx porn; lol parody; lol cosplay; ahri hentai; jinx hentai; league of legends sex; lol porn videos</t>
  </si>
  <si>
    <t>ahri; ahri porn; ahri hentai; ahri xxx; naked ahri; ahri cosplay; ahri blowjob; ahri porn videos; lol ahri sex; ahri parody porn; ahri hentai videos; ahri nude hentai</t>
  </si>
  <si>
    <t>genshin impact; genshin porn; genshin hentai; genshin xxx; ganyu porn; amber porn; genshin cosplay; genshin parody; ganyu hentai; amber hentai; genshin sex; genshin videos</t>
  </si>
  <si>
    <t>ganyu; ganyu porn; ganyu hentai; ganyu xxx; naked ganyu; ganyu cosplay; ganyu blowjob; ganyu porn videos; genshin ganyu sex; ganyu parody porn; ganyu hentai videos; ganyu nude hentai</t>
  </si>
  <si>
    <t>amber genshin; amber porn; amber hentai; amber xxx; naked amber; amber cosplay; amber blowjob; amber porn videos; genshin amber sex; amber parody porn; amber hentai videos; amber nude hentai</t>
  </si>
  <si>
    <t>fate stay night; fate porn; fate hentai; fate stay night xxx; saber porn; rin tohsaka porn; fate parody; fate cosplay; saber hentai; rin hentai; fate sex; fate porn videos</t>
  </si>
  <si>
    <t>rin tohsaka; rin porn; rin hentai; rin xxx; naked rin; rin cosplay; rin blowjob; rin porn videos; fate rin sex; rin parody porn; rin hentai videos; rin nude hentai</t>
  </si>
  <si>
    <t>zero two; zero two porn; zero two hentai; zero two xxx; naked zero two; zero two cosplay; zero two blowjob; darling in the franxx porn; zero two hentai videos; zero two nude hentai; zero two parody porn; zero two sex</t>
  </si>
  <si>
    <t>darling in the franxx; franxx porn; franxx hentai; franxx xxx; zero two porn; ichigo porn; franxx cosplay; franxx parody; zero two hentai; ichigo hentai; franxx sex; franxx videos</t>
  </si>
  <si>
    <t>kill la kill; kill la kill porn; kill la kill hentai; kill la kill xxx; ryuko porn; satsuki porn; kill la kill cosplay; kill la kill parody; ryuko hentai; satsuki hentai; kill la kill sex; kill la kill videos</t>
  </si>
  <si>
    <t>ryuko matoi; ryuko porn; ryuko hentai; ryuko xxx; naked ryuko; ryuko cosplay; ryuko blowjob; ryuko porn videos; kill la kill ryuko sex; ryuko parody porn; ryuko hentai videos; ryuko nude hentai</t>
  </si>
  <si>
    <t>satsuki kiryuuin; satsuki porn; satsuki hentai; satsuki xxx; naked satsuki; satsuki cosplay; satsuki blowjob; satsuki porn videos; kill la kill satsuki sex; satsuki parody porn; satsuki hentai videos; satsuki nude hentai</t>
  </si>
  <si>
    <t>monster musume; monster musume porn; monster musume hentai; monster musume xxx; miia porn; papi porn; monster musume cosplay; monster musume parody; miia hentai; papi hentai; monster musume sex; monster musume videos</t>
  </si>
  <si>
    <t>high school dxd; dxd porn; high school dxd hentai; dxd xxx; rias porn; akeno porn; dxd cosplay; dxd parody; rias hentai; akeno hentai; high school dxd sex; dxd porn videos</t>
  </si>
  <si>
    <t>rias gremory; rias porn; rias hentai; rias xxx; naked rias; rias cosplay; rias blowjob; rias porn videos; dxd rias sex; rias parody porn; rias hentai videos; rias nude hentai</t>
  </si>
  <si>
    <t>akeno himejima; akeno porn; akeno hentai; akeno xxx; naked akeno; akeno cosplay; akeno blowjob; akeno porn videos; dxd akeno sex; akeno parody porn; akeno hentai videos; akeno nude hentai</t>
  </si>
  <si>
    <t>kemono friends; kemono friends porn; kemono hentai; kemono friends xxx; kemono cosplay; kemono parody; kemono furry; kemono porn videos; kemono xxx videos; kemono friends hentai videos; kemono sex; kemono hentai sex</t>
  </si>
  <si>
    <t>beastars; beastars porn; beastars hentai; beastars xxx; haru porn; juno porn; legoshi porn; beastars cosplay; beastars parody; haru hentai; juno hentai; beastars furry sex</t>
  </si>
  <si>
    <t>haru beastars; haru porn; haru hentai; haru xxx; naked haru; haru cosplay; haru blowjob; haru porn videos; beastars haru sex; haru parody porn; haru hentai videos; haru nude hentai</t>
  </si>
  <si>
    <t>juvia lockser; juvia porn; juvia hentai; juvia xxx; naked juvia; juvia cosplay; juvia blowjob; juvia porn videos; fairy tail juvia sex; juvia parody porn; juvia hentai videos; juvia nude hentai</t>
  </si>
  <si>
    <t>yoko littner; yoko porn; yoko hentai; yoko xxx; naked yoko; yoko cosplay; yoko blowjob; yoko porn videos; gurren lagann yoko sex; yoko parody porn; yoko hentai videos; yoko nude hentai</t>
  </si>
  <si>
    <t>gurren lagann; gurren lagann porn; gurren lagann hentai; gurren lagann xxx; yoko porn; nia porn; gurren lagann parody; gurren lagann cosplay; yoko hentai; nia hentai; gurren lagann sex; gurren lagann videos</t>
  </si>
  <si>
    <t>rem re zero; rem porn; rem hentai; rem xxx; naked rem; rem cosplay; rem blowjob; rem porn videos; re zero rem sex; rem parody porn; rem hentai videos; rem nude hentai</t>
  </si>
  <si>
    <t>re zero; rezero porn; rezero hentai; rezero xxx; rem porn; emilia porn; rezero cosplay; rezero parody; rem hentai; emilia hentai; rezero sex; rezero porn videos</t>
  </si>
  <si>
    <t>emilia rezero; emilia porn; emilia hentai; emilia xxx; naked emilia; emilia cosplay; emilia blowjob; emilia porn videos; rezero emilia sex; emilia parody porn; emilia hentai videos; emilia nude hentai</t>
  </si>
  <si>
    <t>konosuba; konosuba porn; konosuba hentai; konosuba xxx; megumin porn; aqua porn; konosuba cosplay; konosuba parody; megumin hentai; aqua hentai; konosuba sex; konosuba porn videos</t>
  </si>
  <si>
    <t>megumin; megumin porn; megumin hentai; megumin xxx; naked megumin; megumin cosplay; megumin blowjob; megumin porn videos; konosuba megumin sex; megumin parody porn; megumin hentai videos; megumin nude hentai</t>
  </si>
  <si>
    <t>aqua konosuba; aqua porn; aqua hentai; aqua xxx; naked aqua; aqua cosplay; aqua blowjob; aqua porn videos; konosuba aqua sex; aqua parody porn; aqua hentai videos; aqua nude hentai</t>
  </si>
  <si>
    <t>goblin slayer; goblin slayer porn; goblin slayer hentai; goblin slayer xxx; cow girl porn; priestess porn; goblin slayer parody; goblin slayer cosplay; cow girl hentai; priestess hentai; goblin slayer sex; goblin slayer videos</t>
  </si>
  <si>
    <t>cow girl goblin slayer; cow girl porn; goblin slayer cow girl hentai; cow girl xxx; naked cow girl; cow girl cosplay; cow girl blowjob; cow girl porn videos; goblin slayer cow girl sex; cow girl parody porn; cow girl hentai videos; cow girl nude hentai</t>
  </si>
  <si>
    <t>priestess goblin slayer; priestess porn; priestess hentai; priestess xxx; naked priestess; priestess cosplay; priestess blowjob; priestess porn videos; goblin slayer priestess sex; priestess parody porn; priestess hentai videos; priestess nude hentai</t>
  </si>
  <si>
    <t>anna frozen; anna porn; anna frozen cosplay; anna hentai; anna xxx; frozen anna nude; naked anna; frozen parody porn; anna blowjob; anna hentai videos; anna porn videos; anna parody</t>
  </si>
  <si>
    <t>rapunzel; rapunzel porn; tangled rapunzel porn; rapunzel cosplay; rapunzel hentai; rapunzel xxx; naked rapunzel; rapunzel blowjob; rapunzel nude hentai; rapunzel parody porn; rapunzel hentai videos; rapunzel videos</t>
  </si>
  <si>
    <t>ariel little mermaid; ariel porn; ariel cosplay; ariel hentai; ariel xxx; naked ariel; ariel blowjob; ariel nude hentai; ariel parody porn; ariel hentai videos; ariel videos; ariel parody</t>
  </si>
  <si>
    <t>jasmine aladdin; jasmine porn; jasmine cosplay; jasmine hentai; jasmine xxx; naked jasmine; jasmine blowjob; jasmine nude hentai; jasmine parody porn; jasmine hentai videos; jasmine videos; jasmine parody</t>
  </si>
  <si>
    <t>belle beauty and the beast; belle porn; belle cosplay; belle hentai; belle xxx; naked belle; belle blowjob; belle nude hentai; belle parody porn; belle hentai videos; belle videos</t>
  </si>
  <si>
    <t>meg hercules; meg porn; meg cosplay; meg hentai; meg xxx; naked meg; meg blowjob; meg nude hentai; meg parody porn; meg hentai videos; meg videos</t>
  </si>
  <si>
    <t>tinkerbell; tinkerbell porn; tinkerbell cosplay; tinkerbell hentai; tinkerbell xxx; naked tinkerbell; tinkerbell blowjob; tinkerbell nude hentai; tinkerbell parody porn; tinkerbell hentai videos; tinkerbell videos</t>
  </si>
  <si>
    <t>lola bunny; lola bunny porn; lola hentai; lola bunny xxx; naked lola bunny; lola bunny cosplay; lola bunny blowjob; lola bunny porn videos; lola bunny parody porn; lola hentai videos; lola nude hentai</t>
  </si>
  <si>
    <t>jessica rabbit; jessica rabbit porn; jessica hentai; jessica rabbit xxx; naked jessica; jessica rabbit cosplay; jessica rabbit blowjob; jessica rabbit porn videos; jessica rabbit parody porn; jessica hentai videos; jessica rabbit nude hentai</t>
  </si>
  <si>
    <t>ai porn; ai generated porn; ai xxx; ai porn videos; ai nsfw; ai porn site; ai nudes; ai adult content; ai porn free; ai sex images; ai porn pics; ai porn generator</t>
  </si>
  <si>
    <t>ai hentai; ai hentai porn; ai generated hentai; ai hentai xxx; ai doujin; ai hentai pics; ai hentai videos; ai anime hentai; ai waifu porn; ai anime girl porn; ai hentai gif; ai anime xxx</t>
  </si>
  <si>
    <t>Free use</t>
  </si>
  <si>
    <t>Furry</t>
  </si>
  <si>
    <t>hentai</t>
  </si>
  <si>
    <t>anal</t>
  </si>
  <si>
    <t>big ass</t>
  </si>
  <si>
    <t>anime</t>
  </si>
  <si>
    <t>latina</t>
  </si>
  <si>
    <t>animation</t>
  </si>
  <si>
    <t>big tits</t>
  </si>
  <si>
    <t>blowjob</t>
  </si>
  <si>
    <t>3d</t>
  </si>
  <si>
    <t>real amateur</t>
  </si>
  <si>
    <t>cartoon</t>
  </si>
  <si>
    <t>latina milf</t>
  </si>
  <si>
    <t>cream pie</t>
  </si>
  <si>
    <t>orgasm</t>
  </si>
  <si>
    <t>tentacle</t>
  </si>
  <si>
    <t>mom-son</t>
  </si>
  <si>
    <t>dad-daughter</t>
  </si>
  <si>
    <t>incest</t>
  </si>
  <si>
    <t>asphyxiation</t>
  </si>
  <si>
    <t>choking</t>
  </si>
  <si>
    <t>ass worship</t>
  </si>
  <si>
    <t>wetlook</t>
  </si>
  <si>
    <t>shrinking</t>
  </si>
  <si>
    <t>horny gamer</t>
  </si>
  <si>
    <t>eyewear</t>
  </si>
  <si>
    <t>public kink</t>
  </si>
  <si>
    <t>tranny cosplay</t>
  </si>
  <si>
    <t>maid cosplay</t>
  </si>
  <si>
    <t>gender swap</t>
  </si>
  <si>
    <t>pokemon</t>
  </si>
  <si>
    <t>renamon</t>
  </si>
  <si>
    <t>frieren</t>
  </si>
  <si>
    <t>dragon ball</t>
  </si>
  <si>
    <t>bulma</t>
  </si>
  <si>
    <t>naruto</t>
  </si>
  <si>
    <t>hinata hyuga</t>
  </si>
  <si>
    <t>one piece</t>
  </si>
  <si>
    <t>nico robin</t>
  </si>
  <si>
    <t>my hero academia</t>
  </si>
  <si>
    <t>ochako</t>
  </si>
  <si>
    <t>toga</t>
  </si>
  <si>
    <t>attack on titan</t>
  </si>
  <si>
    <t>mikasa</t>
  </si>
  <si>
    <t>demon slayer</t>
  </si>
  <si>
    <t>nezuko</t>
  </si>
  <si>
    <t>chainsaw man</t>
  </si>
  <si>
    <t>makima</t>
  </si>
  <si>
    <t>orihime</t>
  </si>
  <si>
    <t>rangiku</t>
  </si>
  <si>
    <t>fairy tail</t>
  </si>
  <si>
    <t>erza scarlet</t>
  </si>
  <si>
    <t>lucy heartfilia</t>
  </si>
  <si>
    <t>spy x family</t>
  </si>
  <si>
    <t>yor forger</t>
  </si>
  <si>
    <t>jujutsu kaisen</t>
  </si>
  <si>
    <t>nobara kugisaki</t>
  </si>
  <si>
    <t>inuyasha</t>
  </si>
  <si>
    <t>kagome</t>
  </si>
  <si>
    <t>sailor moon</t>
  </si>
  <si>
    <t>usagi tsukino</t>
  </si>
  <si>
    <t>pokemon misty team rocket</t>
  </si>
  <si>
    <t>league of legends</t>
  </si>
  <si>
    <t>ahri</t>
  </si>
  <si>
    <t>genshin impact</t>
  </si>
  <si>
    <t>ganyu</t>
  </si>
  <si>
    <t>amber genshin</t>
  </si>
  <si>
    <t>fate stay night</t>
  </si>
  <si>
    <t>rin tohsaka</t>
  </si>
  <si>
    <t>zero two</t>
  </si>
  <si>
    <t>darling in the franxx</t>
  </si>
  <si>
    <t>kill la kill</t>
  </si>
  <si>
    <t>ryuko matoi</t>
  </si>
  <si>
    <t>satsuki kiryuuin</t>
  </si>
  <si>
    <t>monster musume</t>
  </si>
  <si>
    <t>high school dxd</t>
  </si>
  <si>
    <t>rias gremory</t>
  </si>
  <si>
    <t>akeno himejima</t>
  </si>
  <si>
    <t>kemono friends</t>
  </si>
  <si>
    <t>beastars</t>
  </si>
  <si>
    <t>haru beastars</t>
  </si>
  <si>
    <t>juvia lockser</t>
  </si>
  <si>
    <t>yoko littner</t>
  </si>
  <si>
    <t>gurren lagann</t>
  </si>
  <si>
    <t>rem re zero</t>
  </si>
  <si>
    <t>re zero</t>
  </si>
  <si>
    <t>emilia rezero</t>
  </si>
  <si>
    <t>konosuba</t>
  </si>
  <si>
    <t>megumin</t>
  </si>
  <si>
    <t>aqua konosuba</t>
  </si>
  <si>
    <t>goblin slayer</t>
  </si>
  <si>
    <t>cow girl goblin slayer</t>
  </si>
  <si>
    <t>priestess goblin slayer</t>
  </si>
  <si>
    <t>anna frozen</t>
  </si>
  <si>
    <t>rapunzel</t>
  </si>
  <si>
    <t>ariel little mermaid</t>
  </si>
  <si>
    <t>jasmine aladdin</t>
  </si>
  <si>
    <t>belle beauty and the beast</t>
  </si>
  <si>
    <t>meg hercules</t>
  </si>
  <si>
    <t>tinkerbell</t>
  </si>
  <si>
    <t>lola bunny</t>
  </si>
  <si>
    <t>jessica rabbit</t>
  </si>
  <si>
    <t>ai porn</t>
  </si>
  <si>
    <t>ai hentai</t>
  </si>
  <si>
    <t>Creative ID</t>
  </si>
  <si>
    <t>Trans</t>
  </si>
  <si>
    <t>Video names</t>
  </si>
  <si>
    <t>Vid ID</t>
  </si>
  <si>
    <t>Vid Name</t>
  </si>
  <si>
    <t>AIPORNISHERE_MISSIONARY_converted</t>
  </si>
  <si>
    <t>AIPORNISHERE_TRANSINTENSE_converted</t>
  </si>
  <si>
    <t>AI PORN IS HERE V2 Gay2</t>
  </si>
  <si>
    <t>ANIMETV_vBF</t>
  </si>
  <si>
    <t>TALKINGAD_GAY-vBF</t>
  </si>
  <si>
    <t>TALKINGAD_GENERAL_vBF</t>
  </si>
  <si>
    <t>WALKINGSELFIE_GENERAL_vBF</t>
  </si>
  <si>
    <t>Top TJ ads</t>
  </si>
  <si>
    <t>STOP JERE</t>
  </si>
  <si>
    <t>AIPORNISHERE_INDIAN</t>
  </si>
  <si>
    <t>1032166452</t>
  </si>
  <si>
    <t>New Porn Vid</t>
  </si>
  <si>
    <t>AIPORNISHERE_GOTH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</si>
</sst>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Calibri"/>
      <family val="2"/>
    </font>
    <font>
      <sz val="12"/>
      <color theme="1"/>
      <name val="Calibri"/>
      <family val="2"/>
    </font>
    <font>
      <b/>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
      <patternFill patternType="solid">
        <fgColor indexed="10"/>
        <bgColor auto="1"/>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9"/>
      </left>
      <right style="thin">
        <color indexed="9"/>
      </right>
      <top style="thin">
        <color indexed="9"/>
      </top>
      <bottom style="thin">
        <color indexed="9"/>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0" fontId="0" fillId="33" borderId="0" xfId="0" applyFill="1"/>
    <xf numFmtId="0" fontId="18" fillId="33" borderId="0" xfId="0" applyFont="1" applyFill="1"/>
    <xf numFmtId="0" fontId="18" fillId="33" borderId="0" xfId="0" applyFont="1" applyFill="1" applyAlignment="1">
      <alignment horizontal="center" vertical="top"/>
    </xf>
    <xf numFmtId="0" fontId="19" fillId="33" borderId="0" xfId="0" applyFont="1" applyFill="1"/>
    <xf numFmtId="164" fontId="19" fillId="33" borderId="0" xfId="1" applyNumberFormat="1" applyFont="1" applyFill="1" applyBorder="1"/>
    <xf numFmtId="164" fontId="19" fillId="33" borderId="0" xfId="1" applyNumberFormat="1" applyFont="1" applyFill="1" applyBorder="1" applyAlignment="1">
      <alignment horizontal="right"/>
    </xf>
    <xf numFmtId="0" fontId="20" fillId="33" borderId="10" xfId="0" applyFont="1" applyFill="1" applyBorder="1"/>
    <xf numFmtId="0" fontId="20" fillId="33" borderId="0" xfId="0" applyFont="1" applyFill="1"/>
    <xf numFmtId="0" fontId="0" fillId="34" borderId="0" xfId="0" applyFill="1"/>
    <xf numFmtId="0" fontId="19" fillId="34" borderId="0" xfId="0" applyFont="1" applyFill="1"/>
    <xf numFmtId="0" fontId="0" fillId="0" borderId="11" xfId="0" applyBorder="1"/>
    <xf numFmtId="49" fontId="0" fillId="35" borderId="11" xfId="1" applyNumberFormat="1"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ott Dommett" refreshedDate="45982.54921099537" createdVersion="8" refreshedVersion="8" minRefreshableVersion="3" recordCount="431" xr:uid="{73491175-157B-3243-86B2-92F132613410}">
  <cacheSource type="worksheet">
    <worksheetSource ref="A1:P1048576" sheet="campaigns-2025-11-21"/>
  </cacheSource>
  <cacheFields count="16">
    <cacheField name="Name" numFmtId="0">
      <sharedItems containsBlank="1"/>
    </cacheField>
    <cacheField name="Name Fixe" numFmtId="0">
      <sharedItems containsBlank="1" count="171">
        <s v="RT TEST"/>
        <s v="bdsm"/>
        <s v="Disney"/>
        <s v="squirt"/>
        <s v="hairy"/>
        <s v="Category: Asian"/>
        <s v="Category: Japanese"/>
        <s v="cuckold"/>
        <s v="lingerie"/>
        <s v="power"/>
        <s v="Handjob"/>
        <s v="roleplay"/>
        <s v="Category: Squirting"/>
        <s v="milf"/>
        <s v="bbc"/>
        <s v="creampie"/>
        <s v="edging"/>
        <s v="stepsister"/>
        <s v="pov"/>
        <s v="threesome"/>
        <s v="Category: Latina"/>
        <s v="moana"/>
        <s v="elsa"/>
        <s v="neko"/>
        <s v="saber"/>
        <s v="link"/>
        <s v="zelda"/>
        <s v="jinx"/>
        <s v="overwatch"/>
        <s v="bleach"/>
        <s v="nami"/>
        <s v="mummy"/>
        <s v="zombie"/>
        <s v="vampire"/>
        <s v="succubus"/>
        <s v="angel"/>
        <s v="nun"/>
        <s v="alien"/>
        <s v="mannequin"/>
        <s v="doll"/>
        <s v="slime"/>
        <s v="mask"/>
        <s v="robot"/>
        <s v="medical"/>
        <s v="giant"/>
        <s v="enema"/>
        <s v="pissing"/>
        <s v="da"/>
        <s v="dp"/>
        <s v="candle"/>
        <s v="whipping"/>
        <s v="armpit"/>
        <s v="rimjob"/>
        <s v="prostate"/>
        <s v="denial"/>
        <s v="maledom"/>
        <s v="tickling"/>
        <s v="lactation"/>
        <s v="ageplay"/>
        <s v="diaper"/>
        <s v="slave"/>
        <s v="bondage"/>
        <s v="shibari"/>
        <s v="vore"/>
        <s v="giantess"/>
        <s v="gaping"/>
        <s v="trampling"/>
        <s v="spanking"/>
        <s v="glasses"/>
        <s v="heels"/>
        <s v="stockings"/>
        <s v="uniform"/>
        <s v="leather"/>
        <s v="italian"/>
        <s v="french"/>
        <s v="german"/>
        <s v="russian"/>
        <s v="thailand"/>
        <s v="korean"/>
        <s v="shower"/>
        <s v="secretary"/>
        <s v="tattoo"/>
        <s v="pantyhose"/>
        <s v="emo"/>
        <s v="thick"/>
        <s v="college"/>
        <s v="fetish"/>
        <s v="redhead"/>
        <s v="nurse"/>
        <s v="teacher"/>
        <s v="bbw"/>
        <s v="gangbang"/>
        <s v="massage"/>
        <s v="pinay"/>
        <s v="Findom"/>
        <s v="Cosplay"/>
        <s v="Vtuber"/>
        <s v="Sexdoll"/>
        <s v="Marvel"/>
        <s v="Pegging"/>
        <s v="Category: Lesbians"/>
        <s v="Category: Cartoons/Hentai"/>
        <s v="General"/>
        <s v="Gay"/>
        <s v="witch"/>
        <s v="toilet"/>
        <s v="clown"/>
        <s v="triple"/>
        <s v="belly"/>
        <s v="femdom"/>
        <s v="milking"/>
        <s v="master"/>
        <s v="rope"/>
        <s v="machine"/>
        <s v="latex"/>
        <s v="spanish"/>
        <s v="office"/>
        <s v="club"/>
        <s v="maid"/>
        <s v="ahegao"/>
        <s v="stripper"/>
        <s v="mature"/>
        <s v="wife"/>
        <s v="trans"/>
        <s v="ebony"/>
        <s v="stepmom"/>
        <s v="Category: Transexual/Shemale"/>
        <s v="JOI"/>
        <s v="Cowgirl"/>
        <s v="Category: Teens (18+)"/>
        <s v="monster"/>
        <s v="fisting"/>
        <s v="asian"/>
        <s v="Category: Voyeur"/>
        <s v="Category: Ebony"/>
        <s v="Category: BDSM"/>
        <s v="85 %]"/>
        <s v="pregnant"/>
        <s v="facesitting"/>
        <s v="hotel"/>
        <s v="casting"/>
        <s v="straight"/>
        <s v="petite"/>
        <s v="interracial"/>
        <s v="Fantasy"/>
        <s v="Category: Anal"/>
        <s v="goth"/>
        <s v="japanese"/>
        <s v="feet"/>
        <s v="public"/>
        <s v="90 %]"/>
        <s v="orgy"/>
        <s v="lesbian"/>
        <s v="20 %]"/>
        <s v="demon"/>
        <s v="misty"/>
        <s v="dental"/>
        <s v="Xvideos Hentai"/>
        <s v="Xvideos Hentai Footer"/>
        <s v="Xvideos Anal"/>
        <s v="10 %]"/>
        <s v="50 %]"/>
        <s v="AI"/>
        <s v="Xvideos MILF"/>
        <s v="80 %]"/>
        <s v="15 %]"/>
        <s v="25 %]"/>
        <s v="40 %]"/>
        <s v="12 %]"/>
        <s v="30 %]"/>
        <m/>
      </sharedItems>
    </cacheField>
    <cacheField name="Group" numFmtId="0">
      <sharedItems containsBlank="1"/>
    </cacheField>
    <cacheField name="Status" numFmtId="0">
      <sharedItems containsBlank="1"/>
    </cacheField>
    <cacheField name="ID" numFmtId="0">
      <sharedItems containsString="0" containsBlank="1" containsNumber="1" containsInteger="1" minValue="7627354" maxValue="7958994"/>
    </cacheField>
    <cacheField name="Ad Format" numFmtId="0">
      <sharedItems containsBlank="1"/>
    </cacheField>
    <cacheField name="Impressions" numFmtId="0">
      <sharedItems containsString="0" containsBlank="1" containsNumber="1" containsInteger="1" minValue="0" maxValue="282674095"/>
    </cacheField>
    <cacheField name="Clicks" numFmtId="0">
      <sharedItems containsString="0" containsBlank="1" containsNumber="1" containsInteger="1" minValue="0" maxValue="483897"/>
    </cacheField>
    <cacheField name="eCPM" numFmtId="0">
      <sharedItems containsString="0" containsBlank="1" containsNumber="1" minValue="0" maxValue="2.6869999999999998"/>
    </cacheField>
    <cacheField name="Cost" numFmtId="0">
      <sharedItems containsString="0" containsBlank="1" containsNumber="1" minValue="0" maxValue="101787.972252001"/>
    </cacheField>
    <cacheField name="CTR" numFmtId="0">
      <sharedItems containsString="0" containsBlank="1" containsNumber="1" minValue="0" maxValue="2.8571428571428501"/>
    </cacheField>
    <cacheField name="eCPC" numFmtId="0">
      <sharedItems containsString="0" containsBlank="1" containsNumber="1" minValue="0" maxValue="1.43007999999999"/>
    </cacheField>
    <cacheField name="8aeba7b41c36e0642d3ca7ba44ca9509 - Cnvs." numFmtId="0">
      <sharedItems containsString="0" containsBlank="1" containsNumber="1" containsInteger="1" minValue="0" maxValue="1190"/>
    </cacheField>
    <cacheField name="8aeba7b41c36e0642d3ca7ba44ca9509 - eCPA" numFmtId="0">
      <sharedItems containsBlank="1" containsMixedTypes="1" containsNumber="1" minValue="5.984" maxValue="680.41072824999901"/>
    </cacheField>
    <cacheField name="Bidder" numFmtId="0">
      <sharedItems containsBlank="1"/>
    </cacheField>
    <cacheField name="Max Daily Budget" numFmtId="0">
      <sharedItems containsBlank="1" containsMixedTypes="1" containsNumber="1" containsInteger="1" minValue="50" maxValue="11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
  <r>
    <s v="CPA - RT TEST - Gay - Video-IS Xvideos - Mobile - USA"/>
    <x v="0"/>
    <s v="1c. Scaling - Gay"/>
    <s v="Running"/>
    <n v="7958994"/>
    <s v="Video (Video)"/>
    <n v="0"/>
    <n v="51"/>
    <n v="0.89318284577922002"/>
    <n v="5.5020063300000004"/>
    <n v="0.82792207792207695"/>
    <n v="0.10788247705882301"/>
    <n v="0"/>
    <s v="-"/>
    <s v="null"/>
    <s v="Unlimited"/>
  </r>
  <r>
    <s v="CPA - bdsm - Video-IS Xvideos - Android Generic - Other Countries"/>
    <x v="1"/>
    <s v="a99. Archived"/>
    <s v="Paused"/>
    <n v="7791688"/>
    <s v="Video (Video)"/>
    <n v="0"/>
    <n v="3564"/>
    <n v="0.51149705297501302"/>
    <n v="320.91785450999998"/>
    <n v="0.56805050612917496"/>
    <n v="9.0044291388888795E-2"/>
    <n v="0"/>
    <s v="-"/>
    <s v="null"/>
    <s v="Unlimited"/>
  </r>
  <r>
    <s v="CPA - bdsm - Video-IS Xvideos - iOS - US"/>
    <x v="1"/>
    <s v="a99. Archived"/>
    <s v="Paused"/>
    <n v="7791640"/>
    <s v="Video (Video)"/>
    <n v="0"/>
    <n v="118"/>
    <n v="1"/>
    <n v="61.640999999999998"/>
    <n v="0.19143102804951201"/>
    <n v="0.52238135593220303"/>
    <n v="0"/>
    <s v="-"/>
    <s v="null"/>
    <s v="Unlimited"/>
  </r>
  <r>
    <s v="CPA - Disney - Video-IS Xvideos - Android Other - Other Countries"/>
    <x v="2"/>
    <s v="1d. Oceangate"/>
    <s v="Running"/>
    <n v="7791500"/>
    <s v="Video (Video)"/>
    <n v="0"/>
    <n v="710"/>
    <n v="0.39931735636975602"/>
    <n v="25.862587220000002"/>
    <n v="1.09623728133154"/>
    <n v="3.6426179183098498E-2"/>
    <n v="0"/>
    <s v="-"/>
    <s v="null"/>
    <s v="Unlimited"/>
  </r>
  <r>
    <s v="CPA - Disney - Video-IS Xvideos - Android Generic - CA"/>
    <x v="2"/>
    <s v="a99. Archived"/>
    <s v="Paused"/>
    <n v="7791474"/>
    <s v="Video (Video)"/>
    <n v="0"/>
    <n v="320"/>
    <n v="1"/>
    <n v="73.878"/>
    <n v="0.43314653888843702"/>
    <n v="0.23086875000000001"/>
    <n v="0"/>
    <s v="-"/>
    <s v="null"/>
    <s v="Unlimited"/>
  </r>
  <r>
    <s v="CPA - Disney - Video-IS Xvideos - iOS - US"/>
    <x v="2"/>
    <s v="a99. Archived"/>
    <s v="Paused"/>
    <n v="7791454"/>
    <s v="Video (Video)"/>
    <n v="0"/>
    <n v="250"/>
    <n v="1"/>
    <n v="109.26600000000001"/>
    <n v="0.22879944355975301"/>
    <n v="0.43706400000000001"/>
    <n v="0"/>
    <s v="-"/>
    <s v="null"/>
    <s v="Unlimited"/>
  </r>
  <r>
    <s v="CPA - squirt - Video-IS Xvideos - Android Other - Other Countries"/>
    <x v="3"/>
    <s v="a99. Archived"/>
    <s v="Paused"/>
    <n v="7791440"/>
    <s v="Video (Video)"/>
    <n v="0"/>
    <n v="3303"/>
    <n v="0.49228597896564003"/>
    <n v="144.63608205"/>
    <n v="1.1242150405881399"/>
    <n v="4.3789307311534902E-2"/>
    <n v="0"/>
    <s v="-"/>
    <s v="null"/>
    <s v="Unlimited"/>
  </r>
  <r>
    <s v="CPA - squirt - Video-IS Xvideos - iOS - AU"/>
    <x v="3"/>
    <s v="1d. Oceangate"/>
    <s v="Running"/>
    <n v="7791418"/>
    <s v="Video (Video)"/>
    <n v="0"/>
    <n v="9"/>
    <n v="0.999999999999999"/>
    <n v="2.95399999999999"/>
    <n v="0.30467163168584899"/>
    <n v="0.32822222222222203"/>
    <n v="0"/>
    <s v="-"/>
    <s v="null"/>
    <s v="Unlimited"/>
  </r>
  <r>
    <s v="CPA - hairy - Video-IS Xvideos - Android Generic - Other Countries"/>
    <x v="4"/>
    <s v="a99. Archived"/>
    <s v="Paused"/>
    <n v="7791308"/>
    <s v="Video (Video)"/>
    <n v="0"/>
    <n v="8824"/>
    <n v="0.48581268080220402"/>
    <n v="708.28233915999999"/>
    <n v="0.60524043285939699"/>
    <n v="8.0267717493200302E-2"/>
    <n v="0"/>
    <s v="-"/>
    <s v="null"/>
    <s v="Unlimited"/>
  </r>
  <r>
    <s v="CPA - hairy - Video-IS Xvideos - Windows 10 - Other Countries"/>
    <x v="4"/>
    <s v="a99. Archived"/>
    <s v="Paused"/>
    <n v="7791302"/>
    <s v="Video (Video)"/>
    <n v="0"/>
    <n v="606"/>
    <n v="0.44137586250984101"/>
    <n v="61.103633029999997"/>
    <n v="0.437737920672642"/>
    <n v="0.10083107760726"/>
    <n v="0"/>
    <s v="-"/>
    <s v="null"/>
    <s v="Unlimited"/>
  </r>
  <r>
    <s v="CPA - hairy - Video-IS Xvideos - iOS - CA"/>
    <x v="4"/>
    <s v="1d. Oceangate"/>
    <s v="Running"/>
    <n v="7791274"/>
    <s v="Video (Video)"/>
    <n v="0"/>
    <n v="70"/>
    <n v="1"/>
    <n v="31.225000000000001"/>
    <n v="0.224179343474779"/>
    <n v="0.44607142857142801"/>
    <n v="0"/>
    <s v="-"/>
    <s v="null"/>
    <s v="Unlimited"/>
  </r>
  <r>
    <s v="CPA - Category: Asian - Video-IS Xvideos - Android Other - Other Countries"/>
    <x v="5"/>
    <s v="a99. Archived"/>
    <s v="Paused"/>
    <n v="7791246"/>
    <s v="Video (Video)"/>
    <n v="0"/>
    <n v="3024"/>
    <n v="0.53837279971872398"/>
    <n v="130.92042068999999"/>
    <n v="1.2435335433304"/>
    <n v="4.3293789910714198E-2"/>
    <n v="0"/>
    <s v="-"/>
    <s v="null"/>
    <s v="Unlimited"/>
  </r>
  <r>
    <s v="CPA - Category: Asian - Video-IS Xvideos - Windows 10 - Other Countries"/>
    <x v="5"/>
    <s v="a99. Archived"/>
    <s v="Paused"/>
    <n v="7791238"/>
    <s v="Video (Video)"/>
    <n v="0"/>
    <n v="1201"/>
    <n v="0.35255222333703701"/>
    <n v="85.034186059999996"/>
    <n v="0.49793528914244001"/>
    <n v="7.0802819367194E-2"/>
    <n v="0"/>
    <s v="-"/>
    <s v="null"/>
    <s v="Unlimited"/>
  </r>
  <r>
    <s v="CPA - Category: Asian - Video-IS Xvideos - Android Generic - CA"/>
    <x v="5"/>
    <s v="a99. Archived"/>
    <s v="Paused"/>
    <n v="7791220"/>
    <s v="Video (Video)"/>
    <n v="0"/>
    <n v="710"/>
    <n v="1"/>
    <n v="152.655"/>
    <n v="0.46510104483967102"/>
    <n v="0.21500704225352099"/>
    <n v="0"/>
    <s v="-"/>
    <s v="null"/>
    <s v="Unlimited"/>
  </r>
  <r>
    <s v="CPA - Category: Asian - Video-IS Xvideos - iOS - CA"/>
    <x v="5"/>
    <s v="1d. Oceangate"/>
    <s v="Running"/>
    <n v="7791212"/>
    <s v="Video (Video)"/>
    <n v="0"/>
    <n v="163"/>
    <n v="1"/>
    <n v="76.23"/>
    <n v="0.21382657746294101"/>
    <n v="0.46766871165644103"/>
    <n v="0"/>
    <s v="-"/>
    <s v="null"/>
    <s v="Unlimited"/>
  </r>
  <r>
    <s v="CPA - Category: Asian - Video-IS Xvideos - iOS - US"/>
    <x v="5"/>
    <s v="a99. Archived"/>
    <s v="Paused"/>
    <n v="7791200"/>
    <s v="Video (Video)"/>
    <n v="0"/>
    <n v="317"/>
    <n v="1"/>
    <n v="126.071"/>
    <n v="0.251445613979424"/>
    <n v="0.39770031545741302"/>
    <n v="0"/>
    <s v="-"/>
    <s v="null"/>
    <s v="Unlimited"/>
  </r>
  <r>
    <s v="CPA - Category: Asian - Video-IS Xvideos - Android Generic - UK"/>
    <x v="5"/>
    <s v="1d. Oceangate"/>
    <s v="Running"/>
    <n v="7791196"/>
    <s v="Video (Video)"/>
    <n v="0"/>
    <n v="85"/>
    <n v="1"/>
    <n v="15.19"/>
    <n v="0.55957867017774798"/>
    <n v="0.17870588235294099"/>
    <n v="0"/>
    <s v="-"/>
    <s v="null"/>
    <s v="Unlimited"/>
  </r>
  <r>
    <s v="CPA - Category: Japanese - Video-IS Xvideos - Android Other - Other Countries"/>
    <x v="6"/>
    <s v="a99. Archived"/>
    <s v="Paused"/>
    <n v="7791186"/>
    <s v="Video (Video)"/>
    <n v="0"/>
    <n v="1912"/>
    <n v="0.512896689593622"/>
    <n v="76.433916269999997"/>
    <n v="1.28301481640541"/>
    <n v="3.9975897630753099E-2"/>
    <n v="0"/>
    <s v="-"/>
    <s v="null"/>
    <s v="Unlimited"/>
  </r>
  <r>
    <s v="CPA - Category: Japanese - Video-IS Xvideos - Windows 10 - Other Countries"/>
    <x v="6"/>
    <s v="a99. Archived"/>
    <s v="Paused"/>
    <n v="7791178"/>
    <s v="Video (Video)"/>
    <n v="0"/>
    <n v="1121"/>
    <n v="0.39053129196399899"/>
    <n v="102.230157359999"/>
    <n v="0.42823525816359198"/>
    <n v="9.1195501659232805E-2"/>
    <n v="0"/>
    <s v="-"/>
    <s v="null"/>
    <s v="Unlimited"/>
  </r>
  <r>
    <s v="CPA - Category: Japanese - Video-IS Xvideos - iOS - Other Countries"/>
    <x v="6"/>
    <s v="a99. Archived"/>
    <s v="Paused"/>
    <n v="7791176"/>
    <s v="Video (Video)"/>
    <n v="0"/>
    <n v="1371"/>
    <n v="0.67463049071056902"/>
    <n v="358.79615481000002"/>
    <n v="0.25778381132706901"/>
    <n v="0.261703978708971"/>
    <n v="0"/>
    <s v="-"/>
    <s v="null"/>
    <s v="Unlimited"/>
  </r>
  <r>
    <s v="CPA - Category: Japanese - Video-IS Xvideos - Android Generic - CA"/>
    <x v="6"/>
    <s v="a99. Archived"/>
    <s v="Paused"/>
    <n v="7791158"/>
    <s v="Video (Video)"/>
    <n v="0"/>
    <n v="784"/>
    <n v="1"/>
    <n v="160.172"/>
    <n v="0.48947381564817799"/>
    <n v="0.204301020408163"/>
    <n v="0"/>
    <s v="-"/>
    <s v="null"/>
    <s v="Unlimited"/>
  </r>
  <r>
    <s v="CPA - Category: Japanese - Video-IS Xvideos - Android Generic - US"/>
    <x v="6"/>
    <s v="a99. Archived"/>
    <s v="Paused"/>
    <n v="7791146"/>
    <s v="Video (Video)"/>
    <n v="0"/>
    <n v="1384"/>
    <n v="1"/>
    <n v="267.56099999999998"/>
    <n v="0.51726522176251399"/>
    <n v="0.19332442196531699"/>
    <n v="0"/>
    <s v="-"/>
    <s v="null"/>
    <s v="Unlimited"/>
  </r>
  <r>
    <s v="CPA - Category: Japanese - Video-IS Xvideos - MacOS - US"/>
    <x v="6"/>
    <s v="1d. Oceangate"/>
    <s v="Running"/>
    <n v="7791142"/>
    <s v="Video (Video)"/>
    <n v="0"/>
    <n v="11"/>
    <n v="1"/>
    <n v="8.8550000000000004"/>
    <n v="0.12422360248447201"/>
    <n v="0.80500000000000005"/>
    <n v="0"/>
    <s v="-"/>
    <s v="null"/>
    <s v="Unlimited"/>
  </r>
  <r>
    <s v="CPA - Category: Japanese - Video-IS Xvideos - Windows 10 - US"/>
    <x v="6"/>
    <s v="1d. Oceangate"/>
    <s v="Running"/>
    <n v="7791140"/>
    <s v="Video (Video)"/>
    <n v="0"/>
    <n v="61"/>
    <n v="1"/>
    <n v="41.540999999999997"/>
    <n v="0.146842878120411"/>
    <n v="0.68100000000000005"/>
    <n v="0"/>
    <s v="-"/>
    <s v="null"/>
    <s v="Unlimited"/>
  </r>
  <r>
    <s v="CPA - cuckold - Video-IS Xvideos - Android Other - Other Countries"/>
    <x v="7"/>
    <s v="1d. Oceangate"/>
    <s v="Running"/>
    <n v="7790998"/>
    <s v="Video (Video)"/>
    <n v="0"/>
    <n v="925"/>
    <n v="0.416661967499103"/>
    <n v="34.87044006"/>
    <n v="1.1052694467678299"/>
    <n v="3.7697773037837799E-2"/>
    <n v="0"/>
    <s v="-"/>
    <s v="null"/>
    <s v="Unlimited"/>
  </r>
  <r>
    <s v="CPA - cuckold - Video-IS Xvideos - Android Generic - US"/>
    <x v="7"/>
    <s v="a99. Archived"/>
    <s v="Paused"/>
    <n v="7790956"/>
    <s v="Video (Video)"/>
    <n v="0"/>
    <n v="520"/>
    <n v="1"/>
    <n v="140.93700000000001"/>
    <n v="0.36895918034299002"/>
    <n v="0.271032692307692"/>
    <n v="0"/>
    <s v="-"/>
    <s v="null"/>
    <s v="Unlimited"/>
  </r>
  <r>
    <s v="CPA - cuckold - Video-IS Xvideos - iOS - US"/>
    <x v="7"/>
    <s v="1d. Oceangate"/>
    <s v="Running"/>
    <n v="7790948"/>
    <s v="Video (Video)"/>
    <n v="0"/>
    <n v="37"/>
    <n v="1"/>
    <n v="20.204000000000001"/>
    <n v="0.18313205305880001"/>
    <n v="0.54605405405405405"/>
    <n v="0"/>
    <s v="-"/>
    <s v="null"/>
    <s v="Unlimited"/>
  </r>
  <r>
    <s v="CPA - lingerie - Video-IS Xvideos - Android Other - Other Countries"/>
    <x v="8"/>
    <s v="1d. Oceangate"/>
    <s v="Running"/>
    <n v="7790934"/>
    <s v="Video (Video)"/>
    <n v="0"/>
    <n v="2027"/>
    <n v="0.43770859484208602"/>
    <n v="72.081413690000005"/>
    <n v="1.2308794685418201"/>
    <n v="3.5560638228909702E-2"/>
    <n v="0"/>
    <s v="-"/>
    <s v="null"/>
    <s v="Unlimited"/>
  </r>
  <r>
    <s v="CPA - lingerie - Video-IS Xvideos - MacOS - Other Countries"/>
    <x v="8"/>
    <s v="1d. Oceangate"/>
    <s v="Running"/>
    <n v="7790926"/>
    <s v="Video (Video)"/>
    <n v="0"/>
    <n v="12"/>
    <n v="0.58217607504690405"/>
    <n v="1.5514992400000001"/>
    <n v="0.45028142589118197"/>
    <n v="0.12929160333333301"/>
    <n v="0"/>
    <s v="-"/>
    <s v="null"/>
    <s v="Unlimited"/>
  </r>
  <r>
    <s v="CPA - lingerie - Video-IS Xvideos - iOS - Other Countries"/>
    <x v="8"/>
    <s v="a99. Archived"/>
    <s v="Paused"/>
    <n v="7790918"/>
    <s v="Video (Video)"/>
    <n v="0"/>
    <n v="663"/>
    <n v="0.55915590696331696"/>
    <n v="135.58692009999999"/>
    <n v="0.27341897436954798"/>
    <n v="0.20450515852187001"/>
    <n v="0"/>
    <s v="-"/>
    <s v="null"/>
    <s v="Unlimited"/>
  </r>
  <r>
    <s v="CPA - lingerie - Video-IS Xvideos - Android Generic - CA"/>
    <x v="8"/>
    <s v="a99. Archived"/>
    <s v="Paused"/>
    <n v="7790902"/>
    <s v="Video (Video)"/>
    <n v="0"/>
    <n v="649"/>
    <n v="1"/>
    <n v="149.673"/>
    <n v="0.43361194069738601"/>
    <n v="0.23062095531587001"/>
    <n v="0"/>
    <s v="-"/>
    <s v="null"/>
    <s v="Unlimited"/>
  </r>
  <r>
    <s v="CPA - lingerie - Video-IS Xvideos - iOS - CA"/>
    <x v="8"/>
    <s v="1d. Oceangate"/>
    <s v="Running"/>
    <n v="7790894"/>
    <s v="Video (Video)"/>
    <n v="0"/>
    <n v="28"/>
    <n v="1"/>
    <n v="11.468999999999999"/>
    <n v="0.24413636759961599"/>
    <n v="0.409607142857142"/>
    <n v="0"/>
    <s v="-"/>
    <s v="null"/>
    <s v="Unlimited"/>
  </r>
  <r>
    <s v="CPA - power - Video-IS Xvideos - Android Generic - Other Countries"/>
    <x v="9"/>
    <s v="a99. Archived"/>
    <s v="Paused"/>
    <n v="7790866"/>
    <s v="Video (Video)"/>
    <n v="0"/>
    <n v="1890"/>
    <n v="0.49720735381977799"/>
    <n v="153.12793199999999"/>
    <n v="0.61368418318310503"/>
    <n v="8.1020069841269804E-2"/>
    <n v="0"/>
    <s v="-"/>
    <s v="null"/>
    <s v="Unlimited"/>
  </r>
  <r>
    <s v="CPA - Handjob - Video-IS Xvideos - iOS - US"/>
    <x v="10"/>
    <s v="a99. Archived"/>
    <s v="Paused"/>
    <n v="7790620"/>
    <s v="Video (Video)"/>
    <n v="0"/>
    <n v="351"/>
    <n v="1"/>
    <n v="127.645"/>
    <n v="0.27498139370911501"/>
    <n v="0.36366096866096798"/>
    <n v="0"/>
    <s v="-"/>
    <s v="null"/>
    <s v="Unlimited"/>
  </r>
  <r>
    <s v="CPA - roleplay - Video-IS Xvideos - Android Other - Other Countries"/>
    <x v="11"/>
    <s v="1d. Oceangate"/>
    <s v="Running"/>
    <n v="7790542"/>
    <s v="Video (Video)"/>
    <n v="0"/>
    <n v="1204"/>
    <n v="0.49835625106107201"/>
    <n v="54.599412510000001"/>
    <n v="1.0989512500114"/>
    <n v="4.5348349260797297E-2"/>
    <n v="0"/>
    <s v="-"/>
    <s v="null"/>
    <s v="Unlimited"/>
  </r>
  <r>
    <s v="CPA - roleplay - Video-IS Xvideos - Android Generic - US"/>
    <x v="11"/>
    <s v="a99. Archived"/>
    <s v="Paused"/>
    <n v="7790500"/>
    <s v="Video (Video)"/>
    <n v="0"/>
    <n v="830"/>
    <n v="1"/>
    <n v="162.197"/>
    <n v="0.51172339808997702"/>
    <n v="0.195418072289156"/>
    <n v="0"/>
    <s v="-"/>
    <s v="null"/>
    <s v="Unlimited"/>
  </r>
  <r>
    <s v="CPA - Category: Squirting - Video-IS Xvideos - Android Other - Other Countries"/>
    <x v="12"/>
    <s v="a99. Archived"/>
    <s v="Paused"/>
    <n v="7790470"/>
    <s v="Video (Video)"/>
    <n v="0"/>
    <n v="1249"/>
    <n v="0.87923145155233995"/>
    <n v="88.979981359999996"/>
    <n v="1.2341653327009301"/>
    <n v="7.1240977870296193E-2"/>
    <n v="0"/>
    <s v="-"/>
    <s v="null"/>
    <s v="Unlimited"/>
  </r>
  <r>
    <s v="CPA - Category: Squirting - Video-IS Xvideos - iOS - Other Countries"/>
    <x v="12"/>
    <s v="a99. Archived"/>
    <s v="Paused"/>
    <n v="7790458"/>
    <s v="Video (Video)"/>
    <n v="0"/>
    <n v="276"/>
    <n v="0.95338580153583796"/>
    <n v="87.775370589999994"/>
    <n v="0.29978168073250999"/>
    <n v="0.31802670503623098"/>
    <n v="0"/>
    <s v="-"/>
    <s v="null"/>
    <s v="Unlimited"/>
  </r>
  <r>
    <s v="CPA - Category: Squirting - Video-IS Xvideos - iOS - CA"/>
    <x v="12"/>
    <s v="1d. Oceangate"/>
    <s v="Running"/>
    <n v="7790428"/>
    <s v="Video (Video)"/>
    <n v="0"/>
    <n v="69"/>
    <n v="1"/>
    <n v="38.262"/>
    <n v="0.180335580994197"/>
    <n v="0.55452173913043401"/>
    <n v="0"/>
    <s v="-"/>
    <s v="null"/>
    <s v="Unlimited"/>
  </r>
  <r>
    <s v="CPA - Category: Squirting - Video-IS Xvideos - iOS - UK"/>
    <x v="12"/>
    <s v="1d. Oceangate"/>
    <s v="Running"/>
    <n v="7790396"/>
    <s v="Video (Video)"/>
    <n v="0"/>
    <n v="4"/>
    <n v="1"/>
    <n v="1.6359999999999999"/>
    <n v="0.24449877750611199"/>
    <n v="0.40899999999999997"/>
    <n v="0"/>
    <s v="-"/>
    <s v="null"/>
    <s v="Unlimited"/>
  </r>
  <r>
    <s v="CPA - milf - Video-IS Xvideos - Android Other - Other Countries"/>
    <x v="13"/>
    <s v="a99. Archived"/>
    <s v="Paused"/>
    <n v="7790312"/>
    <s v="Video (Video)"/>
    <n v="0"/>
    <n v="5381"/>
    <n v="0.50847036753849495"/>
    <n v="206.28591964"/>
    <n v="1.32635278864379"/>
    <n v="3.83359820925478E-2"/>
    <n v="0"/>
    <s v="-"/>
    <s v="null"/>
    <s v="Unlimited"/>
  </r>
  <r>
    <s v="CPA - milf - Video-IS Xvideos - MacOS - Other Countries"/>
    <x v="13"/>
    <s v="a99. Archived"/>
    <s v="Paused"/>
    <n v="7790304"/>
    <s v="Video (Video)"/>
    <n v="0"/>
    <n v="696"/>
    <n v="0.47994322980587101"/>
    <n v="84.157085460000005"/>
    <n v="0.39692497205556898"/>
    <n v="0.120915352672413"/>
    <n v="0"/>
    <s v="-"/>
    <s v="null"/>
    <s v="Unlimited"/>
  </r>
  <r>
    <s v="CPA - milf - Video-IS Xvideos - Windows 10 - Other Countries"/>
    <x v="13"/>
    <s v="a99. Archived"/>
    <s v="Paused"/>
    <n v="7790302"/>
    <s v="Video (Video)"/>
    <n v="0"/>
    <n v="1448"/>
    <n v="0.59427017611294897"/>
    <n v="152.28529824999899"/>
    <n v="0.56505994005993998"/>
    <n v="0.105169404868784"/>
    <n v="0"/>
    <s v="-"/>
    <s v="null"/>
    <s v="Unlimited"/>
  </r>
  <r>
    <s v="CPA - milf - Video-IS Xvideos - iOS - CA"/>
    <x v="13"/>
    <s v="a99. Archived"/>
    <s v="Paused"/>
    <n v="7790274"/>
    <s v="Video (Video)"/>
    <n v="0"/>
    <n v="283"/>
    <n v="1"/>
    <n v="105.402999999999"/>
    <n v="0.26849330664212501"/>
    <n v="0.372448763250883"/>
    <n v="0"/>
    <s v="-"/>
    <s v="null"/>
    <s v="Unlimited"/>
  </r>
  <r>
    <s v="CPA - milf - Video-IS Xvideos - Android Other - US"/>
    <x v="13"/>
    <s v="a99. Archived"/>
    <s v="Paused"/>
    <n v="7790272"/>
    <s v="Video (Video)"/>
    <n v="0"/>
    <n v="659"/>
    <n v="1"/>
    <n v="63.143999999999998"/>
    <n v="1.0436462688458099"/>
    <n v="9.5817905918057597E-2"/>
    <n v="0"/>
    <s v="-"/>
    <s v="null"/>
    <s v="Unlimited"/>
  </r>
  <r>
    <s v="CPA - milf - Video-IS Xvideos - MacOS - US"/>
    <x v="13"/>
    <s v="a99. Archived"/>
    <s v="Paused"/>
    <n v="7790266"/>
    <s v="Video (Video)"/>
    <n v="0"/>
    <n v="125"/>
    <n v="1"/>
    <n v="65.012"/>
    <n v="0.192272195902294"/>
    <n v="0.520096"/>
    <n v="0"/>
    <s v="-"/>
    <s v="null"/>
    <s v="Unlimited"/>
  </r>
  <r>
    <s v="CPA - milf - Video-IS Xvideos - Windows 10 - US"/>
    <x v="13"/>
    <s v="a99. Archived"/>
    <s v="Paused"/>
    <n v="7790264"/>
    <s v="Video (Video)"/>
    <n v="0"/>
    <n v="82"/>
    <n v="1"/>
    <n v="71.47"/>
    <n v="0.11473345459633399"/>
    <n v="0.87158536585365798"/>
    <n v="0"/>
    <s v="-"/>
    <s v="null"/>
    <s v="Unlimited"/>
  </r>
  <r>
    <s v="CPA - milf - Video-IS Xvideos - MacOS - UK"/>
    <x v="13"/>
    <s v="1d. Oceangate"/>
    <s v="Running"/>
    <n v="7790254"/>
    <s v="Video (Video)"/>
    <n v="0"/>
    <n v="5"/>
    <n v="1"/>
    <n v="1.0669999999999999"/>
    <n v="0.46860356138706599"/>
    <n v="0.21339999999999901"/>
    <n v="0"/>
    <s v="-"/>
    <s v="null"/>
    <s v="Unlimited"/>
  </r>
  <r>
    <s v="CPA - bbc - Video-IS Xvideos - MacOS - US"/>
    <x v="14"/>
    <s v="1d. Oceangate"/>
    <s v="Running"/>
    <n v="7790204"/>
    <s v="Video (Video)"/>
    <n v="0"/>
    <n v="8"/>
    <n v="1"/>
    <n v="9.1969999999999992"/>
    <n v="8.6984886375992096E-2"/>
    <n v="1.1496249999999999"/>
    <n v="0"/>
    <s v="-"/>
    <s v="null"/>
    <s v="Unlimited"/>
  </r>
  <r>
    <s v="CPA - bbc - Video-IS Xvideos - Windows 10 - US"/>
    <x v="14"/>
    <s v="1d. Oceangate"/>
    <s v="Running"/>
    <n v="7790202"/>
    <s v="Video (Video)"/>
    <n v="0"/>
    <n v="25"/>
    <n v="0.999999999999999"/>
    <n v="35.751999999999903"/>
    <n v="6.9926157977176107E-2"/>
    <n v="1.43007999999999"/>
    <n v="0"/>
    <s v="-"/>
    <s v="null"/>
    <s v="Unlimited"/>
  </r>
  <r>
    <s v="CPA - bbc - Video-IS Xvideos - iOS - UK"/>
    <x v="14"/>
    <s v="1d. Oceangate"/>
    <s v="Running"/>
    <n v="7790186"/>
    <s v="Video (Video)"/>
    <n v="0"/>
    <n v="12"/>
    <n v="1"/>
    <n v="4.2809999999999997"/>
    <n v="0.28030833917309"/>
    <n v="0.35675000000000001"/>
    <n v="0"/>
    <s v="-"/>
    <s v="null"/>
    <s v="Unlimited"/>
  </r>
  <r>
    <s v="CPA - creampie - Video-IS Xvideos - Android Other - Other Countries"/>
    <x v="15"/>
    <s v="a99. Archived"/>
    <s v="Paused"/>
    <n v="7790184"/>
    <s v="Video (Video)"/>
    <n v="0"/>
    <n v="2643"/>
    <n v="0.73914461602547199"/>
    <n v="154.37404877999899"/>
    <n v="1.26547125996504"/>
    <n v="5.8408645017026098E-2"/>
    <n v="0"/>
    <s v="-"/>
    <s v="null"/>
    <s v="Unlimited"/>
  </r>
  <r>
    <s v="CPA - creampie - Video-IS Xvideos - Windows 10 - Other Countries"/>
    <x v="15"/>
    <s v="a99. Archived"/>
    <s v="Paused"/>
    <n v="7790176"/>
    <s v="Video (Video)"/>
    <n v="0"/>
    <n v="1077"/>
    <n v="0.68548290583911997"/>
    <n v="130.3905019"/>
    <n v="0.56619545045921205"/>
    <n v="0.121068246889507"/>
    <n v="0"/>
    <s v="-"/>
    <s v="null"/>
    <s v="Unlimited"/>
  </r>
  <r>
    <s v="CPA - creampie - Video-IS Xvideos - Android Generic - AU"/>
    <x v="15"/>
    <s v="1d. Oceangate"/>
    <s v="Running"/>
    <n v="7790170"/>
    <s v="Video (Video)"/>
    <n v="0"/>
    <n v="253"/>
    <n v="1"/>
    <n v="91.933999999999997"/>
    <n v="0.27519742423912802"/>
    <n v="0.363375494071146"/>
    <n v="0"/>
    <s v="-"/>
    <s v="null"/>
    <s v="Unlimited"/>
  </r>
  <r>
    <s v="CPA - creampie - Video-IS Xvideos - Windows 10 - AU"/>
    <x v="15"/>
    <s v="1d. Oceangate"/>
    <s v="Running"/>
    <n v="7790164"/>
    <s v="Video (Video)"/>
    <n v="0"/>
    <n v="40"/>
    <n v="1"/>
    <n v="18.814"/>
    <n v="0.21260763261401"/>
    <n v="0.47034999999999999"/>
    <n v="0"/>
    <s v="-"/>
    <s v="null"/>
    <s v="Unlimited"/>
  </r>
  <r>
    <s v="CPA - creampie - Video-IS Xvideos - iOS - AU"/>
    <x v="15"/>
    <s v="1d. Oceangate"/>
    <s v="Running"/>
    <n v="7790162"/>
    <s v="Video (Video)"/>
    <n v="0"/>
    <n v="14"/>
    <n v="1"/>
    <n v="8.0069999999999997"/>
    <n v="0.174847008867241"/>
    <n v="0.57192857142857101"/>
    <n v="0"/>
    <s v="-"/>
    <s v="null"/>
    <s v="Unlimited"/>
  </r>
  <r>
    <s v="CPA - creampie - Video-IS Xvideos - Android Other - US"/>
    <x v="15"/>
    <s v="a99. Archived"/>
    <s v="Paused"/>
    <n v="7790148"/>
    <s v="Video (Video)"/>
    <n v="0"/>
    <n v="632"/>
    <n v="1"/>
    <n v="71.619"/>
    <n v="0.88244739524427795"/>
    <n v="0.113321202531645"/>
    <n v="0"/>
    <s v="-"/>
    <s v="null"/>
    <s v="Unlimited"/>
  </r>
  <r>
    <s v="CPA - creampie - Video-IS Xvideos - Windows 10 - US"/>
    <x v="15"/>
    <s v="a99. Archived"/>
    <s v="Paused"/>
    <n v="7790136"/>
    <s v="Video (Video)"/>
    <n v="0"/>
    <n v="67"/>
    <n v="1"/>
    <n v="63.984999999999999"/>
    <n v="0.104712041884816"/>
    <n v="0.95499999999999996"/>
    <n v="0"/>
    <s v="-"/>
    <s v="null"/>
    <s v="Unlimited"/>
  </r>
  <r>
    <s v="CPA - creampie - Video-IS Xvideos - Android Generic - UK"/>
    <x v="15"/>
    <s v="1d. Oceangate"/>
    <s v="Running"/>
    <n v="7790130"/>
    <s v="Video (Video)"/>
    <n v="0"/>
    <n v="188"/>
    <n v="1"/>
    <n v="41.857999999999997"/>
    <n v="0.44913756032299601"/>
    <n v="0.222648936170212"/>
    <n v="0"/>
    <s v="-"/>
    <s v="null"/>
    <s v="Unlimited"/>
  </r>
  <r>
    <s v="CPA - creampie - Video-IS Xvideos - iOS - UK"/>
    <x v="15"/>
    <s v="1d. Oceangate"/>
    <s v="Running"/>
    <n v="7790122"/>
    <s v="Video (Video)"/>
    <n v="0"/>
    <n v="19"/>
    <n v="1"/>
    <n v="8.31"/>
    <n v="0.228640192539109"/>
    <n v="0.43736842105263102"/>
    <n v="0"/>
    <s v="-"/>
    <s v="null"/>
    <s v="Unlimited"/>
  </r>
  <r>
    <s v="CPA - edging - Video-IS Xvideos - Android Generic - Other Countries"/>
    <x v="16"/>
    <s v="a99. Archived"/>
    <s v="Paused"/>
    <n v="7790118"/>
    <s v="Video (Video)"/>
    <n v="0"/>
    <n v="770"/>
    <n v="0.48578100499031901"/>
    <n v="58.212109389999902"/>
    <n v="0.642566259429868"/>
    <n v="7.5600142064934997E-2"/>
    <n v="0"/>
    <s v="-"/>
    <s v="null"/>
    <s v="Unlimited"/>
  </r>
  <r>
    <s v="CPA - stepsister - Video-IS Xvideos - Android Other - Other Countries"/>
    <x v="17"/>
    <s v="a99. Archived"/>
    <s v="Paused"/>
    <n v="7762950"/>
    <s v="Video (Video)"/>
    <n v="0"/>
    <n v="3070"/>
    <n v="0.55679748884836699"/>
    <n v="133.43707499999999"/>
    <n v="1.2810294970603"/>
    <n v="4.3464845276872902E-2"/>
    <n v="0"/>
    <s v="-"/>
    <s v="null"/>
    <s v="Unlimited"/>
  </r>
  <r>
    <s v="CPA - stepsister - Video-IS Xvideos - MacOS - Other Countries"/>
    <x v="17"/>
    <s v="1d. Oceangate"/>
    <s v="Running"/>
    <n v="7762944"/>
    <s v="Video (Video)"/>
    <n v="0"/>
    <n v="12"/>
    <n v="0.33005349049282101"/>
    <n v="1.7010956899999901"/>
    <n v="0.23282887077997599"/>
    <n v="0.141757974166666"/>
    <n v="0"/>
    <s v="-"/>
    <s v="null"/>
    <s v="Unlimited"/>
  </r>
  <r>
    <s v="CPA - stepsister - Video-IS Xvideos - Windows 10 - Other Countries"/>
    <x v="17"/>
    <s v="a99. Archived"/>
    <s v="Paused"/>
    <n v="7762942"/>
    <s v="Video (Video)"/>
    <n v="0"/>
    <n v="1520"/>
    <n v="0.43123991253810501"/>
    <n v="98.316231459999997"/>
    <n v="0.66671052920148199"/>
    <n v="6.4681731223684202E-2"/>
    <n v="0"/>
    <s v="-"/>
    <s v="null"/>
    <s v="Unlimited"/>
  </r>
  <r>
    <s v="CPA - stepsister - Video-IS Xvideos - iOS - Other Countries"/>
    <x v="17"/>
    <s v="a99. Archived"/>
    <s v="Paused"/>
    <n v="7762940"/>
    <s v="Video (Video)"/>
    <n v="0"/>
    <n v="910"/>
    <n v="0.60310652080209004"/>
    <n v="201.48401715"/>
    <n v="0.272392292794774"/>
    <n v="0.22141100785714199"/>
    <n v="0"/>
    <s v="-"/>
    <s v="null"/>
    <s v="Unlimited"/>
  </r>
  <r>
    <s v="CPA - stepsister - Video-IS Xvideos - Android Generic - AU"/>
    <x v="17"/>
    <s v="1d. Oceangate"/>
    <s v="Running"/>
    <n v="7762936"/>
    <s v="Video (Video)"/>
    <n v="0"/>
    <n v="14"/>
    <n v="1"/>
    <n v="5.117"/>
    <n v="0.27359781121750998"/>
    <n v="0.36549999999999999"/>
    <n v="0"/>
    <s v="-"/>
    <s v="null"/>
    <s v="Unlimited"/>
  </r>
  <r>
    <s v="CPA - stepsister - Video-IS Xvideos - Windows 10 - AU"/>
    <x v="17"/>
    <s v="1d. Oceangate"/>
    <s v="Running"/>
    <n v="7762930"/>
    <s v="Video (Video)"/>
    <n v="0"/>
    <n v="2"/>
    <n v="1"/>
    <n v="0.84399999999999997"/>
    <n v="0.23696682464454899"/>
    <n v="0.42199999999999999"/>
    <n v="0"/>
    <s v="-"/>
    <s v="null"/>
    <s v="Unlimited"/>
  </r>
  <r>
    <s v="CPA - stepsister - Video-IS Xvideos - iOS - AU"/>
    <x v="17"/>
    <s v="1d. Oceangate"/>
    <s v="Running"/>
    <n v="7762928"/>
    <s v="Video (Video)"/>
    <n v="0"/>
    <n v="9"/>
    <n v="1"/>
    <n v="3.42"/>
    <n v="0.26315789473684198"/>
    <n v="0.38"/>
    <n v="0"/>
    <s v="-"/>
    <s v="null"/>
    <s v="Unlimited"/>
  </r>
  <r>
    <s v="CPA - stepsister - Video-IS Xvideos - iOS - CA"/>
    <x v="17"/>
    <s v="1d. Oceangate"/>
    <s v="Running"/>
    <n v="7762914"/>
    <s v="Video (Video)"/>
    <n v="0"/>
    <n v="90"/>
    <n v="1"/>
    <n v="32.645000000000003"/>
    <n v="0.275693061724613"/>
    <n v="0.362722222222222"/>
    <n v="0"/>
    <s v="-"/>
    <s v="null"/>
    <s v="Unlimited"/>
  </r>
  <r>
    <s v="CPA - stepsister - Video-IS Xvideos - Android Other - US"/>
    <x v="17"/>
    <s v="1d. Oceangate"/>
    <s v="Running"/>
    <n v="7762912"/>
    <s v="Video (Video)"/>
    <n v="0"/>
    <n v="156"/>
    <n v="1"/>
    <n v="12.612"/>
    <n v="1.23691722169362"/>
    <n v="8.0846153846153804E-2"/>
    <n v="0"/>
    <s v="-"/>
    <s v="null"/>
    <s v="Unlimited"/>
  </r>
  <r>
    <s v="CPA - stepsister - Video-IS Xvideos - MacOS - US"/>
    <x v="17"/>
    <s v="1d. Oceangate"/>
    <s v="Running"/>
    <n v="7762906"/>
    <s v="Video (Video)"/>
    <n v="0"/>
    <n v="8"/>
    <n v="1"/>
    <n v="3.6349999999999998"/>
    <n v="0.22008253094910499"/>
    <n v="0.45437499999999997"/>
    <n v="0"/>
    <s v="-"/>
    <s v="null"/>
    <s v="Unlimited"/>
  </r>
  <r>
    <s v="CPA - stepsister - Video-IS Xvideos - Windows 10 - US"/>
    <x v="17"/>
    <s v="1d. Oceangate"/>
    <s v="Running"/>
    <n v="7762904"/>
    <s v="Video (Video)"/>
    <n v="0"/>
    <n v="6"/>
    <n v="1"/>
    <n v="7.5579999999999998"/>
    <n v="7.9386080973802495E-2"/>
    <n v="1.2596666666666601"/>
    <n v="0"/>
    <s v="-"/>
    <s v="null"/>
    <s v="Unlimited"/>
  </r>
  <r>
    <s v="CPA - stepsister - Video-IS Xvideos - Android Generic - UK"/>
    <x v="17"/>
    <s v="1d. Oceangate"/>
    <s v="Running"/>
    <n v="7762898"/>
    <s v="Video (Video)"/>
    <n v="0"/>
    <n v="35"/>
    <n v="0.999999999999999"/>
    <n v="7.3329999999999904"/>
    <n v="0.47729442247374798"/>
    <n v="0.20951428571428499"/>
    <n v="0"/>
    <s v="-"/>
    <s v="null"/>
    <s v="Unlimited"/>
  </r>
  <r>
    <s v="CPA - stepsister - Video-IS Xvideos - iOS - UK"/>
    <x v="17"/>
    <s v="1d. Oceangate"/>
    <s v="Running"/>
    <n v="7762890"/>
    <s v="Video (Video)"/>
    <n v="0"/>
    <n v="12"/>
    <n v="1"/>
    <n v="4.66"/>
    <n v="0.257510729613733"/>
    <n v="0.38833333333333298"/>
    <n v="0"/>
    <s v="-"/>
    <s v="null"/>
    <s v="Unlimited"/>
  </r>
  <r>
    <s v="CPA - pov - Video-IS Xvideos - Android Other - Other Countries"/>
    <x v="18"/>
    <s v="a99. Archived"/>
    <s v="Paused"/>
    <n v="7762888"/>
    <s v="Video (Video)"/>
    <n v="0"/>
    <n v="3107"/>
    <n v="0.56480906800152497"/>
    <n v="121.46444931000001"/>
    <n v="1.4447534107712401"/>
    <n v="3.9093804090762699E-2"/>
    <n v="0"/>
    <s v="-"/>
    <s v="null"/>
    <s v="Unlimited"/>
  </r>
  <r>
    <s v="CPA - pov - Video-IS Xvideos - MacOS - Other Countries"/>
    <x v="18"/>
    <s v="1d. Oceangate"/>
    <s v="Running"/>
    <n v="7762880"/>
    <s v="Video (Video)"/>
    <n v="0"/>
    <n v="353"/>
    <n v="0.47530543712312401"/>
    <n v="45.559927369999997"/>
    <n v="0.36826840820414303"/>
    <n v="0.129064950056657"/>
    <n v="0"/>
    <s v="-"/>
    <s v="null"/>
    <s v="Unlimited"/>
  </r>
  <r>
    <s v="CPA - pov - Video-IS Xvideos - Windows 10 - Other Countries"/>
    <x v="18"/>
    <s v="a99. Archived"/>
    <s v="Paused"/>
    <n v="7762878"/>
    <s v="Video (Video)"/>
    <n v="0"/>
    <n v="1449"/>
    <n v="0.51289020107815397"/>
    <n v="106.08364474"/>
    <n v="0.70055841612879799"/>
    <n v="7.3211625079365003E-2"/>
    <n v="0"/>
    <s v="-"/>
    <s v="null"/>
    <s v="Unlimited"/>
  </r>
  <r>
    <s v="CPA - pov - Video-IS Xvideos - Android Generic - AU"/>
    <x v="18"/>
    <s v="1d. Oceangate"/>
    <s v="Running"/>
    <n v="7762872"/>
    <s v="Video (Video)"/>
    <n v="0"/>
    <n v="17"/>
    <n v="1"/>
    <n v="5.53"/>
    <n v="0.30741410488245902"/>
    <n v="0.32529411764705801"/>
    <n v="0"/>
    <s v="-"/>
    <s v="null"/>
    <s v="Unlimited"/>
  </r>
  <r>
    <s v="CPA - pov - Video-IS Xvideos - MacOS - AU"/>
    <x v="18"/>
    <s v="1d. Oceangate"/>
    <s v="Running"/>
    <n v="7762868"/>
    <s v="Video (Video)"/>
    <n v="0"/>
    <n v="4"/>
    <n v="1"/>
    <n v="1.698"/>
    <n v="0.23557126030624201"/>
    <n v="0.42449999999999999"/>
    <n v="0"/>
    <s v="-"/>
    <s v="null"/>
    <s v="Unlimited"/>
  </r>
  <r>
    <s v="CPA - pov - Video-IS Xvideos - MacOS - CA"/>
    <x v="18"/>
    <s v="1d. Oceangate"/>
    <s v="Running"/>
    <n v="7762856"/>
    <s v="Video (Video)"/>
    <n v="0"/>
    <n v="4"/>
    <n v="1"/>
    <n v="2.4630000000000001"/>
    <n v="0.16240357287860299"/>
    <n v="0.61575000000000002"/>
    <n v="0"/>
    <s v="-"/>
    <s v="null"/>
    <s v="Unlimited"/>
  </r>
  <r>
    <s v="CPA - pov - Video-IS Xvideos - Windows 10 - CA"/>
    <x v="18"/>
    <s v="a99. Archived"/>
    <s v="Paused"/>
    <n v="7762854"/>
    <s v="Video (Video)"/>
    <n v="0"/>
    <n v="99"/>
    <n v="1"/>
    <n v="51.216000000000001"/>
    <n v="0.19329896907216401"/>
    <n v="0.51733333333333298"/>
    <n v="0"/>
    <s v="-"/>
    <s v="null"/>
    <s v="Unlimited"/>
  </r>
  <r>
    <s v="CPA - pov - Video-IS Xvideos - Android Other - US"/>
    <x v="18"/>
    <s v="1d. Oceangate"/>
    <s v="Running"/>
    <n v="7762850"/>
    <s v="Video (Video)"/>
    <n v="0"/>
    <n v="801"/>
    <n v="1"/>
    <n v="69.281000000000006"/>
    <n v="1.1561611408611301"/>
    <n v="8.6493133583021201E-2"/>
    <n v="0"/>
    <s v="-"/>
    <s v="null"/>
    <s v="Unlimited"/>
  </r>
  <r>
    <s v="CPA - pov - Video-IS Xvideos - iOS - UK"/>
    <x v="18"/>
    <s v="1d. Oceangate"/>
    <s v="Running"/>
    <n v="7762826"/>
    <s v="Video (Video)"/>
    <n v="0"/>
    <n v="26"/>
    <n v="1"/>
    <n v="7.3239999999999998"/>
    <n v="0.35499726925177499"/>
    <n v="0.28169230769230702"/>
    <n v="0"/>
    <s v="-"/>
    <s v="null"/>
    <s v="Unlimited"/>
  </r>
  <r>
    <s v="CPA - threesome - Video-IS Xvideos - MacOS - Other Countries"/>
    <x v="19"/>
    <s v="1d. Oceangate"/>
    <s v="Running"/>
    <n v="7762818"/>
    <s v="Video (Video)"/>
    <n v="0"/>
    <n v="189"/>
    <n v="0.43558791030736299"/>
    <n v="18.52250471"/>
    <n v="0.44446534816452199"/>
    <n v="9.8002670423280397E-2"/>
    <n v="0"/>
    <s v="-"/>
    <s v="null"/>
    <s v="Unlimited"/>
  </r>
  <r>
    <s v="CPA - threesome - Video-IS Xvideos - Android Generic - AU"/>
    <x v="19"/>
    <s v="1d. Oceangate"/>
    <s v="Running"/>
    <n v="7762810"/>
    <s v="Video (Video)"/>
    <n v="0"/>
    <n v="17"/>
    <n v="1"/>
    <n v="4.8620000000000001"/>
    <n v="0.34965034965034902"/>
    <n v="0.28599999999999998"/>
    <n v="0"/>
    <s v="-"/>
    <s v="null"/>
    <s v="Unlimited"/>
  </r>
  <r>
    <s v="CPA - threesome - Video-IS Xvideos - Windows 10 - AU"/>
    <x v="19"/>
    <s v="1d. Oceangate"/>
    <s v="Running"/>
    <n v="7762804"/>
    <s v="Video (Video)"/>
    <n v="0"/>
    <n v="4"/>
    <n v="1"/>
    <n v="2.395"/>
    <n v="0.167014613778705"/>
    <n v="0.59875"/>
    <n v="0"/>
    <s v="-"/>
    <s v="null"/>
    <s v="Unlimited"/>
  </r>
  <r>
    <s v="CPA - threesome - Video-IS Xvideos - iOS - AU"/>
    <x v="19"/>
    <s v="1d. Oceangate"/>
    <s v="Running"/>
    <n v="7762802"/>
    <s v="Video (Video)"/>
    <n v="0"/>
    <n v="8"/>
    <n v="1"/>
    <n v="3.8730000000000002"/>
    <n v="0.206558223599277"/>
    <n v="0.48412500000000003"/>
    <n v="0"/>
    <s v="-"/>
    <s v="null"/>
    <s v="Unlimited"/>
  </r>
  <r>
    <s v="CPA - threesome - Video-IS Xvideos - MacOS - CA"/>
    <x v="19"/>
    <s v="1d. Oceangate"/>
    <s v="Running"/>
    <n v="7762792"/>
    <s v="Video (Video)"/>
    <n v="0"/>
    <n v="68"/>
    <n v="1"/>
    <n v="27.456"/>
    <n v="0.247668997668997"/>
    <n v="0.40376470588235203"/>
    <n v="0"/>
    <s v="-"/>
    <s v="null"/>
    <s v="Unlimited"/>
  </r>
  <r>
    <s v="CPA - threesome - Video-IS Xvideos - Windows 10 - CA"/>
    <x v="19"/>
    <s v="1d. Oceangate"/>
    <s v="Running"/>
    <n v="7762790"/>
    <s v="Video (Video)"/>
    <n v="0"/>
    <n v="1"/>
    <n v="1"/>
    <n v="1.2769999999999999"/>
    <n v="7.8308535630383702E-2"/>
    <n v="1.2769999999999999"/>
    <n v="0"/>
    <s v="-"/>
    <s v="null"/>
    <s v="Unlimited"/>
  </r>
  <r>
    <s v="CPA - threesome - Video-IS Xvideos - Android Other - US"/>
    <x v="19"/>
    <s v="1d. Oceangate"/>
    <s v="Running"/>
    <n v="7762786"/>
    <s v="Video (Video)"/>
    <n v="0"/>
    <n v="262"/>
    <n v="1"/>
    <n v="23.324000000000002"/>
    <n v="1.12330646544332"/>
    <n v="8.9022900763358698E-2"/>
    <n v="0"/>
    <s v="-"/>
    <s v="null"/>
    <s v="Unlimited"/>
  </r>
  <r>
    <s v="CPA - threesome - Video-IS Xvideos - Windows 10 - US"/>
    <x v="19"/>
    <s v="1d. Oceangate"/>
    <s v="Running"/>
    <n v="7762778"/>
    <s v="Video (Video)"/>
    <n v="0"/>
    <n v="15"/>
    <n v="1"/>
    <n v="9.1519999999999992"/>
    <n v="0.16389860139860099"/>
    <n v="0.61013333333333297"/>
    <n v="0"/>
    <s v="-"/>
    <s v="null"/>
    <s v="Unlimited"/>
  </r>
  <r>
    <s v="CPA - threesome - Video-IS Xvideos - Android Generic - UK"/>
    <x v="19"/>
    <s v="1d. Oceangate"/>
    <s v="Running"/>
    <n v="7762772"/>
    <s v="Video (Video)"/>
    <n v="0"/>
    <n v="20"/>
    <n v="1"/>
    <n v="6.2939999999999996"/>
    <n v="0.31776294884016498"/>
    <n v="0.31469999999999998"/>
    <n v="0"/>
    <s v="-"/>
    <s v="null"/>
    <s v="Unlimited"/>
  </r>
  <r>
    <s v="CPA - threesome - Video-IS Xvideos - iOS - UK"/>
    <x v="19"/>
    <s v="1d. Oceangate"/>
    <s v="Running"/>
    <n v="7762764"/>
    <s v="Video (Video)"/>
    <n v="0"/>
    <n v="18"/>
    <n v="1"/>
    <n v="8.484"/>
    <n v="0.212164073550212"/>
    <n v="0.47133333333333299"/>
    <n v="0"/>
    <s v="-"/>
    <s v="null"/>
    <s v="Unlimited"/>
  </r>
  <r>
    <s v="CPA - Category: Latina - Video-IS Xvideos - Android Other - Other Countries"/>
    <x v="20"/>
    <s v="a99. Archived"/>
    <s v="Paused"/>
    <n v="7762322"/>
    <s v="Video (Video)"/>
    <n v="0"/>
    <n v="6684"/>
    <n v="0.56041889255301203"/>
    <n v="272.58662850000002"/>
    <n v="1.3741832820036199"/>
    <n v="4.0781961175942502E-2"/>
    <n v="0"/>
    <s v="-"/>
    <s v="null"/>
    <s v="Unlimited"/>
  </r>
  <r>
    <s v="CPA - Category: Latina - Video-IS Xvideos - Windows 10 - Other Countries"/>
    <x v="20"/>
    <s v="a99. Archived"/>
    <s v="Paused"/>
    <n v="7762314"/>
    <s v="Video (Video)"/>
    <n v="0"/>
    <n v="2815"/>
    <n v="0.44109172176214501"/>
    <n v="193.98419957999999"/>
    <n v="0.64008986270470303"/>
    <n v="6.8910905712255693E-2"/>
    <n v="0"/>
    <s v="-"/>
    <s v="null"/>
    <s v="Unlimited"/>
  </r>
  <r>
    <s v="CPA - Category: Latina - Video-IS Xvideos - Android Generic - AU"/>
    <x v="20"/>
    <s v="1d. Oceangate"/>
    <s v="Running"/>
    <n v="7762308"/>
    <s v="Video (Video)"/>
    <n v="0"/>
    <n v="24"/>
    <n v="1"/>
    <n v="6.835"/>
    <n v="0.35113386978785599"/>
    <n v="0.284791666666666"/>
    <n v="0"/>
    <s v="-"/>
    <s v="null"/>
    <s v="Unlimited"/>
  </r>
  <r>
    <s v="CPA - Category: Latina - Video-IS Xvideos - MacOS - AU"/>
    <x v="20"/>
    <s v="1d. Oceangate"/>
    <s v="Running"/>
    <n v="7762304"/>
    <s v="Video (Video)"/>
    <n v="0"/>
    <n v="3"/>
    <n v="1"/>
    <n v="1.361"/>
    <n v="0.220426157237325"/>
    <n v="0.453666666666666"/>
    <n v="0"/>
    <s v="-"/>
    <s v="null"/>
    <s v="Unlimited"/>
  </r>
  <r>
    <s v="CPA - Category: Latina - Video-IS Xvideos - Windows 10 - AU"/>
    <x v="20"/>
    <s v="1d. Oceangate"/>
    <s v="Running"/>
    <n v="7762302"/>
    <s v="Video (Video)"/>
    <n v="0"/>
    <n v="5"/>
    <n v="1"/>
    <n v="2.5289999999999999"/>
    <n v="0.19770660340055299"/>
    <n v="0.50580000000000003"/>
    <n v="0"/>
    <s v="-"/>
    <s v="null"/>
    <s v="Unlimited"/>
  </r>
  <r>
    <s v="CPA - Category: Latina - Video-IS Xvideos - iOS - AU"/>
    <x v="20"/>
    <s v="1d. Oceangate"/>
    <s v="Running"/>
    <n v="7762300"/>
    <s v="Video (Video)"/>
    <n v="0"/>
    <n v="8"/>
    <n v="1"/>
    <n v="4.5979999999999999"/>
    <n v="0.17398869073510201"/>
    <n v="0.57474999999999998"/>
    <n v="0"/>
    <s v="-"/>
    <s v="null"/>
    <s v="Unlimited"/>
  </r>
  <r>
    <s v="CPA - Category: Latina - Video-IS Xvideos - MacOS - CA"/>
    <x v="20"/>
    <s v="1d. Oceangate"/>
    <s v="Running"/>
    <n v="7762292"/>
    <s v="Video (Video)"/>
    <n v="0"/>
    <n v="3"/>
    <n v="1"/>
    <n v="1.875"/>
    <n v="0.16"/>
    <n v="0.625"/>
    <n v="0"/>
    <s v="-"/>
    <s v="null"/>
    <s v="Unlimited"/>
  </r>
  <r>
    <s v="CPA - Category: Latina - Video-IS Xvideos - iOS - CA"/>
    <x v="20"/>
    <s v="a99. Archived"/>
    <s v="Paused"/>
    <n v="7762288"/>
    <s v="Video (Video)"/>
    <n v="0"/>
    <n v="122"/>
    <n v="1"/>
    <n v="49.146999999999998"/>
    <n v="0.248234887175209"/>
    <n v="0.40284426229508102"/>
    <n v="0"/>
    <s v="-"/>
    <s v="null"/>
    <s v="Unlimited"/>
  </r>
  <r>
    <s v="CPA - Category: Latina - Video-IS Xvideos - MacOS - US"/>
    <x v="20"/>
    <s v="a99. Archived"/>
    <s v="Paused"/>
    <n v="7762280"/>
    <s v="Video (Video)"/>
    <n v="0"/>
    <n v="133"/>
    <n v="1"/>
    <n v="59.195999999999998"/>
    <n v="0.22467734306372"/>
    <n v="0.44508270676691702"/>
    <n v="0"/>
    <s v="-"/>
    <s v="null"/>
    <s v="Unlimited"/>
  </r>
  <r>
    <s v="CPA - Category: Latina - Video-IS Xvideos - MacOS - UK"/>
    <x v="20"/>
    <s v="1d. Oceangate"/>
    <s v="Running"/>
    <n v="7762268"/>
    <s v="Video (Video)"/>
    <n v="0"/>
    <n v="3"/>
    <n v="1"/>
    <n v="0.97599999999999998"/>
    <n v="0.30737704918032699"/>
    <n v="0.32533333333333297"/>
    <n v="0"/>
    <s v="-"/>
    <s v="null"/>
    <s v="Unlimited"/>
  </r>
  <r>
    <s v="CPA - moana - Video-IS Xvideos - iOS - USA"/>
    <x v="21"/>
    <s v="a99. Archived"/>
    <s v="Paused"/>
    <n v="7745056"/>
    <s v="Video (Video)"/>
    <n v="0"/>
    <n v="178"/>
    <n v="1.81320926966801"/>
    <n v="100.00393085"/>
    <n v="0.32273856363207798"/>
    <n v="0.56181983623595499"/>
    <n v="0"/>
    <s v="-"/>
    <s v="null"/>
    <n v="50"/>
  </r>
  <r>
    <s v="CPA - elsa - Video-IS Xvideos - iOS - USA"/>
    <x v="22"/>
    <s v="1b. Launch"/>
    <s v="Running"/>
    <n v="7745024"/>
    <s v="Video (Video)"/>
    <n v="0"/>
    <n v="41"/>
    <n v="1.4744381968806399"/>
    <n v="31.858186119999999"/>
    <n v="0.18975332068311099"/>
    <n v="0.77702892975609705"/>
    <n v="0"/>
    <s v="-"/>
    <s v="null"/>
    <n v="50"/>
  </r>
  <r>
    <s v="CPA - neko - Video-IS Xvideos - iOS - USA"/>
    <x v="23"/>
    <s v="1b. Launch"/>
    <s v="Running"/>
    <n v="7744850"/>
    <s v="Video (Video)"/>
    <n v="0"/>
    <n v="3"/>
    <n v="1.56706286928799"/>
    <n v="1.47460615999999"/>
    <n v="0.31880977683315598"/>
    <n v="0.49153538666666602"/>
    <n v="0"/>
    <s v="-"/>
    <s v="null"/>
    <n v="50"/>
  </r>
  <r>
    <s v="CPA - saber - Video-IS Xvideos - iOS - USA"/>
    <x v="24"/>
    <s v="a99. Archived"/>
    <s v="Paused"/>
    <n v="7744704"/>
    <s v="Video (Video)"/>
    <n v="0"/>
    <n v="147"/>
    <n v="1.8314446984708299"/>
    <n v="100.00603776"/>
    <n v="0.26920611665598299"/>
    <n v="0.68031318204081603"/>
    <n v="0"/>
    <s v="-"/>
    <s v="null"/>
    <n v="50"/>
  </r>
  <r>
    <s v="CPA - link - Video-IS Xvideos - iOS - USA"/>
    <x v="25"/>
    <s v="a99. Archived"/>
    <s v="Paused"/>
    <n v="7744634"/>
    <s v="Video (Video)"/>
    <n v="0"/>
    <n v="227"/>
    <n v="1.74014449074396"/>
    <n v="100.01654474999999"/>
    <n v="0.39494745632959799"/>
    <n v="0.440601518722466"/>
    <n v="0"/>
    <s v="-"/>
    <s v="null"/>
    <n v="50"/>
  </r>
  <r>
    <s v="CPA - zelda - Video-IS Xvideos - iOS - USA"/>
    <x v="26"/>
    <s v="1b. Launch"/>
    <s v="Running"/>
    <n v="7744624"/>
    <s v="Video (Video)"/>
    <n v="0"/>
    <n v="5"/>
    <n v="1.6023452707581201"/>
    <n v="0.88769927999999998"/>
    <n v="0.90252707581227398"/>
    <n v="0.177539856"/>
    <n v="0"/>
    <s v="-"/>
    <s v="null"/>
    <n v="50"/>
  </r>
  <r>
    <s v="CPA - jinx - Video-IS Xvideos - iOS - USA"/>
    <x v="27"/>
    <s v="1b. Launch"/>
    <s v="Running"/>
    <n v="7744612"/>
    <s v="Video (Video)"/>
    <n v="0"/>
    <n v="0"/>
    <n v="1.66429840029761"/>
    <n v="2.23681705"/>
    <n v="0"/>
    <n v="0"/>
    <n v="0"/>
    <s v="-"/>
    <s v="null"/>
    <n v="50"/>
  </r>
  <r>
    <s v="CPA - overwatch - Video-IS Xvideos - iOS - USA"/>
    <x v="28"/>
    <s v="1b. Launch"/>
    <s v="Running"/>
    <n v="7744578"/>
    <s v="Video (Video)"/>
    <n v="0"/>
    <n v="3"/>
    <n v="1.6209449755301699"/>
    <n v="0.99363926999999996"/>
    <n v="0.48939641109298498"/>
    <n v="0.33121308999999999"/>
    <n v="0"/>
    <s v="-"/>
    <s v="null"/>
    <n v="50"/>
  </r>
  <r>
    <s v="CPA - bleach - Video-IS Xvideos - iOS - USA"/>
    <x v="29"/>
    <s v="a99. Archived"/>
    <s v="Paused"/>
    <n v="7744412"/>
    <s v="Video (Video)"/>
    <n v="0"/>
    <n v="209"/>
    <n v="1.67696811345115"/>
    <n v="100.01102435"/>
    <n v="0.350447701130151"/>
    <n v="0.47852164760765498"/>
    <n v="0"/>
    <s v="-"/>
    <s v="null"/>
    <n v="50"/>
  </r>
  <r>
    <s v="CPA - nami - Video-IS Xvideos - iOS - USA"/>
    <x v="30"/>
    <s v="a99. Archived"/>
    <s v="Paused"/>
    <n v="7744278"/>
    <s v="Video (Video)"/>
    <n v="0"/>
    <n v="179"/>
    <n v="1.6946905394233001"/>
    <n v="100.03080378"/>
    <n v="0.30325619218649402"/>
    <n v="0.55883130603351905"/>
    <n v="0"/>
    <s v="-"/>
    <s v="null"/>
    <n v="50"/>
  </r>
  <r>
    <s v="CPA - mummy - Video-IS Xvideos - iOS - USA"/>
    <x v="31"/>
    <s v="1b. Launch"/>
    <s v="Running"/>
    <n v="7744166"/>
    <s v="Video (Video)"/>
    <n v="0"/>
    <n v="24"/>
    <n v="1.3947063251481699"/>
    <n v="8.2357408499999991"/>
    <n v="0.40643522438611301"/>
    <n v="0.34315586874999998"/>
    <n v="0"/>
    <s v="-"/>
    <s v="null"/>
    <n v="50"/>
  </r>
  <r>
    <s v="CPA - zombie - Video-IS Xvideos - iOS - USA"/>
    <x v="32"/>
    <s v="1b. Launch"/>
    <s v="Running"/>
    <n v="7744156"/>
    <s v="Video (Video)"/>
    <n v="0"/>
    <n v="3"/>
    <n v="1.5945380620155001"/>
    <n v="1.4398678699999901"/>
    <n v="0.33222591362126203"/>
    <n v="0.47995595666666602"/>
    <n v="0"/>
    <s v="-"/>
    <s v="null"/>
    <n v="50"/>
  </r>
  <r>
    <s v="CPA - vampire - Video-IS Xvideos - iOS - USA"/>
    <x v="33"/>
    <s v="1b. Launch"/>
    <s v="Running"/>
    <n v="7744146"/>
    <s v="Video (Video)"/>
    <n v="0"/>
    <n v="6"/>
    <n v="1.62058138752627"/>
    <n v="2.31256964"/>
    <n v="0.42046250875963498"/>
    <n v="0.38542827333333302"/>
    <n v="0"/>
    <s v="-"/>
    <s v="null"/>
    <n v="50"/>
  </r>
  <r>
    <s v="CPA - succubus - Video-IS Xvideos - iOS - USA"/>
    <x v="34"/>
    <s v="1b. Launch"/>
    <s v="Running"/>
    <n v="7744136"/>
    <s v="Video (Video)"/>
    <n v="0"/>
    <n v="18"/>
    <n v="1.45943391830559"/>
    <n v="10.611544019999901"/>
    <n v="0.24755879521386301"/>
    <n v="0.58953022333333305"/>
    <n v="0"/>
    <s v="-"/>
    <s v="null"/>
    <n v="50"/>
  </r>
  <r>
    <s v="CPA - angel - Video-IS Xvideos - iOS - USA"/>
    <x v="35"/>
    <s v="1b. Launch"/>
    <s v="Running"/>
    <n v="7744126"/>
    <s v="Video (Video)"/>
    <n v="0"/>
    <n v="101"/>
    <n v="1"/>
    <n v="39.168999999999997"/>
    <n v="0.25785697873318097"/>
    <n v="0.38781188118811799"/>
    <n v="0"/>
    <s v="-"/>
    <s v="null"/>
    <n v="50"/>
  </r>
  <r>
    <s v="CPA - nun - Video-IS Xvideos - iOS - USA"/>
    <x v="36"/>
    <s v="1b. Launch"/>
    <s v="Running"/>
    <n v="7744106"/>
    <s v="Video (Video)"/>
    <n v="0"/>
    <n v="104"/>
    <n v="1.4886526814310901"/>
    <n v="55.589268429999997"/>
    <n v="0.27850677521289702"/>
    <n v="0.53451219644230696"/>
    <n v="0"/>
    <s v="-"/>
    <s v="null"/>
    <n v="50"/>
  </r>
  <r>
    <s v="CPA - alien - Video-IS Xvideos - iOS - USA"/>
    <x v="37"/>
    <s v="a99. Archived"/>
    <s v="Paused"/>
    <n v="7729226"/>
    <s v="Video (Video)"/>
    <n v="0"/>
    <n v="173"/>
    <n v="1.70597564982533"/>
    <n v="100.11518101"/>
    <n v="0.29479424043622698"/>
    <n v="0.57870046826589505"/>
    <n v="0"/>
    <s v="-"/>
    <s v="null"/>
    <n v="50"/>
  </r>
  <r>
    <s v="CPA - mannequin - Video-IS Xvideos - iOS - USA"/>
    <x v="38"/>
    <s v="1b. Launch"/>
    <s v="Running"/>
    <n v="7729072"/>
    <s v="Video (Video)"/>
    <n v="0"/>
    <n v="1"/>
    <n v="1.5814282047477699"/>
    <n v="1.0658826100000001"/>
    <n v="0.14836795252225499"/>
    <n v="1.0658826100000001"/>
    <n v="0"/>
    <s v="-"/>
    <s v="null"/>
    <n v="50"/>
  </r>
  <r>
    <s v="CPA - doll - Video-IS Xvideos - iOS - USA"/>
    <x v="39"/>
    <s v="a99. Archived"/>
    <s v="Paused"/>
    <n v="7729052"/>
    <s v="Video (Video)"/>
    <n v="0"/>
    <n v="214"/>
    <n v="1.74093802323559"/>
    <n v="100.10045445999999"/>
    <n v="0.372186858673345"/>
    <n v="0.46775913299065403"/>
    <n v="0"/>
    <s v="-"/>
    <s v="null"/>
    <n v="50"/>
  </r>
  <r>
    <s v="CPA - slime - Video-IS Xvideos - iOS - USA"/>
    <x v="40"/>
    <s v="1b. Launch"/>
    <s v="Running"/>
    <n v="7729032"/>
    <s v="Video (Video)"/>
    <n v="0"/>
    <n v="44"/>
    <n v="1.4516281274447"/>
    <n v="20.4113431"/>
    <n v="0.31292226726406303"/>
    <n v="0.46389416136363598"/>
    <n v="0"/>
    <s v="-"/>
    <s v="null"/>
    <n v="50"/>
  </r>
  <r>
    <s v="CPA - mask - Video-IS Xvideos - iOS - USA"/>
    <x v="41"/>
    <s v="1b. Launch"/>
    <s v="Running"/>
    <n v="7728966"/>
    <s v="Video (Video)"/>
    <n v="0"/>
    <n v="83"/>
    <n v="1.4671215799723201"/>
    <n v="57.255886779999997"/>
    <n v="0.212678727002511"/>
    <n v="0.68982996120481899"/>
    <n v="0"/>
    <s v="-"/>
    <s v="null"/>
    <n v="50"/>
  </r>
  <r>
    <s v="CPA - robot - Video-IS Xvideos - iOS - USA"/>
    <x v="42"/>
    <s v="1b. Launch"/>
    <s v="Running"/>
    <n v="7728924"/>
    <s v="Video (Video)"/>
    <n v="0"/>
    <n v="9"/>
    <n v="1.49355589973142"/>
    <n v="3.3366038800000002"/>
    <n v="0.40286481647269401"/>
    <n v="0.370733764444444"/>
    <n v="0"/>
    <s v="-"/>
    <s v="null"/>
    <n v="50"/>
  </r>
  <r>
    <s v="CPA - medical - Video-IS Xvideos - iOS - USA"/>
    <x v="43"/>
    <s v="a99. Archived"/>
    <s v="Paused"/>
    <n v="7728880"/>
    <s v="Video (Video)"/>
    <n v="0"/>
    <n v="172"/>
    <n v="1.72089718367276"/>
    <n v="100.04607867"/>
    <n v="0.29585798816567999"/>
    <n v="0.58166324808139502"/>
    <n v="0"/>
    <s v="-"/>
    <s v="null"/>
    <n v="50"/>
  </r>
  <r>
    <s v="CPA - giant - Video-IS Xvideos - iOS - USA"/>
    <x v="44"/>
    <s v="a99. Archived"/>
    <s v="Paused"/>
    <n v="7728838"/>
    <s v="Video (Video)"/>
    <n v="0"/>
    <n v="165"/>
    <n v="1"/>
    <n v="72.858000000000004"/>
    <n v="0.226467923906777"/>
    <n v="0.44156363636363599"/>
    <n v="0"/>
    <s v="-"/>
    <s v="null"/>
    <n v="50"/>
  </r>
  <r>
    <s v="CPA - enema - Video-IS Xvideos - iOS - USA"/>
    <x v="45"/>
    <s v="a99. Archived"/>
    <s v="Paused"/>
    <n v="7728818"/>
    <s v="Video (Video)"/>
    <n v="0"/>
    <n v="181"/>
    <n v="1.70524636287682"/>
    <n v="100.009288689999"/>
    <n v="0.30862092483972098"/>
    <n v="0.552537506574585"/>
    <n v="0"/>
    <s v="-"/>
    <s v="null"/>
    <n v="50"/>
  </r>
  <r>
    <s v="CPA - pissing - Video-IS Xvideos - iOS - USA"/>
    <x v="46"/>
    <s v="1b. Launch"/>
    <s v="Running"/>
    <n v="7728774"/>
    <s v="Video (Video)"/>
    <n v="0"/>
    <n v="28"/>
    <n v="0.999999999999999"/>
    <n v="7.0379999999999896"/>
    <n v="0.39784029553850497"/>
    <n v="0.251357142857142"/>
    <n v="0"/>
    <s v="-"/>
    <s v="null"/>
    <n v="50"/>
  </r>
  <r>
    <s v="CPA - da - Video-IS Xvideos - iOS - USA"/>
    <x v="47"/>
    <s v="a99. Archived"/>
    <s v="Paused"/>
    <n v="7728754"/>
    <s v="Video (Video)"/>
    <n v="0"/>
    <n v="273"/>
    <n v="1"/>
    <n v="100.009"/>
    <n v="0.27297543221110099"/>
    <n v="0.36633333333333301"/>
    <n v="0"/>
    <s v="-"/>
    <s v="null"/>
    <n v="200"/>
  </r>
  <r>
    <s v="CPA - dp - Video-IS Xvideos - iOS - USA"/>
    <x v="48"/>
    <s v="a99. Archived"/>
    <s v="Paused"/>
    <n v="7728734"/>
    <s v="Video (Video)"/>
    <n v="0"/>
    <n v="242"/>
    <n v="1"/>
    <n v="100.011"/>
    <n v="0.24197338292787701"/>
    <n v="0.41326859504132202"/>
    <n v="0"/>
    <s v="-"/>
    <s v="null"/>
    <n v="50"/>
  </r>
  <r>
    <s v="CPA - candle - Video-IS Xvideos - iOS - USA"/>
    <x v="49"/>
    <s v="1b. Launch"/>
    <s v="Running"/>
    <n v="7728692"/>
    <s v="Video (Video)"/>
    <n v="0"/>
    <n v="3"/>
    <n v="1.6399612368420999"/>
    <n v="3.1159263499999899"/>
    <n v="0.157894736842105"/>
    <n v="1.03864211666666"/>
    <n v="0"/>
    <s v="-"/>
    <s v="null"/>
    <n v="200"/>
  </r>
  <r>
    <s v="CPA - whipping - Video-IS Xvideos - iOS - USA"/>
    <x v="50"/>
    <s v="a99. Archived"/>
    <s v="Paused"/>
    <n v="7728672"/>
    <s v="Video (Video)"/>
    <n v="0"/>
    <n v="176"/>
    <n v="1.68437311190812"/>
    <n v="100.03155037000001"/>
    <n v="0.29635616622886701"/>
    <n v="0.56836108164772703"/>
    <n v="0"/>
    <s v="-"/>
    <s v="null"/>
    <n v="50"/>
  </r>
  <r>
    <s v="CPA - armpit - Video-IS Xvideos - iOS - USA"/>
    <x v="51"/>
    <s v="a99. Archived"/>
    <s v="Paused"/>
    <n v="7728586"/>
    <s v="Video (Video)"/>
    <n v="0"/>
    <n v="166"/>
    <n v="1.6491782598657601"/>
    <n v="100.0045205"/>
    <n v="0.27375121621398701"/>
    <n v="0.60243687048192696"/>
    <n v="0"/>
    <s v="-"/>
    <s v="null"/>
    <n v="50"/>
  </r>
  <r>
    <s v="CPA - rimjob - Video-IS Xvideos - iOS - USA"/>
    <x v="52"/>
    <s v="1b. Launch"/>
    <s v="Running"/>
    <n v="7728542"/>
    <s v="Video (Video)"/>
    <n v="0"/>
    <n v="41"/>
    <n v="1"/>
    <n v="21.552"/>
    <n v="0.19023756495916799"/>
    <n v="0.52565853658536499"/>
    <n v="0"/>
    <s v="-"/>
    <s v="null"/>
    <n v="50"/>
  </r>
  <r>
    <s v="CPA - prostate - Video-IS Xvideos - iOS - USA"/>
    <x v="53"/>
    <s v="1b. Launch"/>
    <s v="Running"/>
    <n v="7728522"/>
    <s v="Video (Video)"/>
    <n v="0"/>
    <n v="28"/>
    <n v="1"/>
    <n v="11.972"/>
    <n v="0.23387905111927801"/>
    <n v="0.42757142857142799"/>
    <n v="0"/>
    <s v="-"/>
    <s v="null"/>
    <n v="50"/>
  </r>
  <r>
    <s v="CPA - denial - Video-IS Xvideos - iOS - USA"/>
    <x v="54"/>
    <s v="a99. Archived"/>
    <s v="Paused"/>
    <n v="7728502"/>
    <s v="Video (Video)"/>
    <n v="0"/>
    <n v="128"/>
    <n v="1.6718354247939899"/>
    <n v="100.024241629999"/>
    <n v="0.213943071085928"/>
    <n v="0.78143938773437405"/>
    <n v="0"/>
    <s v="-"/>
    <s v="null"/>
    <n v="200"/>
  </r>
  <r>
    <s v="CPA - maledom - Video-IS Xvideos - iOS - USA"/>
    <x v="55"/>
    <s v="a99. Archived"/>
    <s v="Paused"/>
    <n v="7728452"/>
    <s v="Video (Video)"/>
    <n v="0"/>
    <n v="126"/>
    <n v="1.7370217935141099"/>
    <n v="100.05592935"/>
    <n v="0.218742404777611"/>
    <n v="0.79409467738095196"/>
    <n v="0"/>
    <s v="-"/>
    <s v="null"/>
    <n v="50"/>
  </r>
  <r>
    <s v="CPA - tickling - Video-IS Xvideos - iOS - USA"/>
    <x v="56"/>
    <s v="1b. Launch"/>
    <s v="Running"/>
    <n v="7728368"/>
    <s v="Video (Video)"/>
    <n v="0"/>
    <n v="6"/>
    <n v="1.4603547670961301"/>
    <n v="4.4204938800000004"/>
    <n v="0.19821605550049501"/>
    <n v="0.73674898"/>
    <n v="0"/>
    <s v="-"/>
    <s v="null"/>
    <n v="50"/>
  </r>
  <r>
    <s v="CPA - lactation - Video-IS Xvideos - iOS - USA"/>
    <x v="57"/>
    <s v="1b. Launch"/>
    <s v="Running"/>
    <n v="7728324"/>
    <s v="Video (Video)"/>
    <n v="0"/>
    <n v="34"/>
    <n v="1.48347288425302"/>
    <n v="22.044407059999902"/>
    <n v="0.228802153432032"/>
    <n v="0.64836491352941095"/>
    <n v="0"/>
    <s v="-"/>
    <s v="null"/>
    <n v="200"/>
  </r>
  <r>
    <s v="CPA - ageplay - Video-IS Xvideos - iOS - USA"/>
    <x v="58"/>
    <s v="1b. Launch"/>
    <s v="Running"/>
    <n v="7728284"/>
    <s v="Video (Video)"/>
    <n v="0"/>
    <n v="3"/>
    <n v="1.5872736423841001"/>
    <n v="1.43806992"/>
    <n v="0.33112582781456901"/>
    <n v="0.47935664"/>
    <n v="0"/>
    <s v="-"/>
    <s v="null"/>
    <n v="200"/>
  </r>
  <r>
    <s v="CPA - diaper - Video-IS Xvideos - iOS - USA"/>
    <x v="59"/>
    <s v="1b. Launch"/>
    <s v="Running"/>
    <n v="7728262"/>
    <s v="Video (Video)"/>
    <n v="0"/>
    <n v="4"/>
    <n v="1.5755653004291801"/>
    <n v="2.20264028999999"/>
    <n v="0.28612303290414798"/>
    <n v="0.55066007249999904"/>
    <n v="0"/>
    <s v="-"/>
    <s v="null"/>
    <n v="200"/>
  </r>
  <r>
    <s v="CPA - slave - Video-IS Xvideos - iOS - USA"/>
    <x v="60"/>
    <s v="a99. Archived"/>
    <s v="Paused"/>
    <n v="7728160"/>
    <s v="Video (Video)"/>
    <n v="0"/>
    <n v="210"/>
    <n v="1"/>
    <n v="100.005"/>
    <n v="0.20998950052497301"/>
    <n v="0.47621428571428498"/>
    <n v="0"/>
    <s v="-"/>
    <s v="null"/>
    <n v="50"/>
  </r>
  <r>
    <s v="CPA - bondage - Video-IS Xvideos - iOS - USA"/>
    <x v="61"/>
    <s v="a99. Archived"/>
    <s v="Paused"/>
    <n v="7728118"/>
    <s v="Video (Video)"/>
    <n v="0"/>
    <n v="194"/>
    <n v="1"/>
    <n v="100.009"/>
    <n v="0.19398254157125799"/>
    <n v="0.51551030927834995"/>
    <n v="0"/>
    <s v="-"/>
    <s v="null"/>
    <n v="50"/>
  </r>
  <r>
    <s v="CPA - shibari - Video-IS Xvideos - iOS - USA"/>
    <x v="62"/>
    <s v="1b. Launch"/>
    <s v="Running"/>
    <n v="7728096"/>
    <s v="Video (Video)"/>
    <n v="0"/>
    <n v="9"/>
    <n v="1.60810957650273"/>
    <n v="2.35427242"/>
    <n v="0.61475409836065498"/>
    <n v="0.261585824444444"/>
    <n v="0"/>
    <s v="-"/>
    <s v="null"/>
    <n v="200"/>
  </r>
  <r>
    <s v="CPA - vore - Video-IS Xvideos - iOS - USA"/>
    <x v="63"/>
    <s v="1b. Launch"/>
    <s v="Running"/>
    <n v="7728076"/>
    <s v="Video (Video)"/>
    <n v="0"/>
    <n v="65"/>
    <n v="1.47031644153753"/>
    <n v="36.530011989999998"/>
    <n v="0.26162205675186101"/>
    <n v="0.56200018446153799"/>
    <n v="0"/>
    <s v="-"/>
    <s v="null"/>
    <n v="200"/>
  </r>
  <r>
    <s v="CPA - giantess - Video-IS Xvideos - iOS - USA"/>
    <x v="64"/>
    <s v="1b. Launch"/>
    <s v="Running"/>
    <n v="7728056"/>
    <s v="Video (Video)"/>
    <n v="0"/>
    <n v="7"/>
    <n v="1.58671949704142"/>
    <n v="2.6815559499999999"/>
    <n v="0.414201183431952"/>
    <n v="0.38307942142857099"/>
    <n v="0"/>
    <s v="-"/>
    <s v="null"/>
    <n v="200"/>
  </r>
  <r>
    <s v="CPA - gaping - Video-IS Xvideos - iOS - USA"/>
    <x v="65"/>
    <s v="1b. Launch"/>
    <s v="Running"/>
    <n v="7727988"/>
    <s v="Video (Video)"/>
    <n v="0"/>
    <n v="29"/>
    <n v="0.999999999999999"/>
    <n v="12.425999999999901"/>
    <n v="0.23338161918557801"/>
    <n v="0.42848275862068902"/>
    <n v="0"/>
    <s v="-"/>
    <s v="null"/>
    <n v="200"/>
  </r>
  <r>
    <s v="CPA - trampling - Video-IS Xvideos - iOS - USA"/>
    <x v="66"/>
    <s v="1b. Launch"/>
    <s v="Running"/>
    <n v="7727968"/>
    <s v="Video (Video)"/>
    <n v="0"/>
    <n v="0"/>
    <n v="1.5852856737588601"/>
    <n v="0.67057584000000003"/>
    <n v="0"/>
    <n v="0"/>
    <n v="0"/>
    <s v="-"/>
    <s v="null"/>
    <n v="200"/>
  </r>
  <r>
    <s v="CPA - spanking - Video-IS Xvideos - iOS - USA"/>
    <x v="67"/>
    <s v="a99. Archived"/>
    <s v="Paused"/>
    <n v="7727926"/>
    <s v="Video (Video)"/>
    <n v="0"/>
    <n v="194"/>
    <n v="1"/>
    <n v="100.005"/>
    <n v="0.19399030048497501"/>
    <n v="0.51548969072164896"/>
    <n v="0"/>
    <s v="-"/>
    <s v="null"/>
    <n v="200"/>
  </r>
  <r>
    <s v="CPA - glasses - Video-IS Xvideos - iOS - USA"/>
    <x v="68"/>
    <s v="1b. Launch"/>
    <s v="Running"/>
    <n v="7727884"/>
    <s v="Video (Video)"/>
    <n v="0"/>
    <n v="26"/>
    <n v="1"/>
    <n v="7.2610000000000001"/>
    <n v="0.358077399807189"/>
    <n v="0.27926923076922999"/>
    <n v="0"/>
    <s v="-"/>
    <s v="null"/>
    <n v="200"/>
  </r>
  <r>
    <s v="CPA - heels - Video-IS Xvideos - iOS - USA"/>
    <x v="69"/>
    <s v="1b. Launch"/>
    <s v="Running"/>
    <n v="7727864"/>
    <s v="Video (Video)"/>
    <n v="0"/>
    <n v="25"/>
    <n v="1"/>
    <n v="8.6910000000000007"/>
    <n v="0.28765389483373599"/>
    <n v="0.34764"/>
    <n v="0"/>
    <s v="-"/>
    <s v="null"/>
    <n v="200"/>
  </r>
  <r>
    <s v="CPA - stockings - Video-IS Xvideos - iOS - USA"/>
    <x v="70"/>
    <s v="1b. Launch"/>
    <s v="Running"/>
    <n v="7727836"/>
    <s v="Video (Video)"/>
    <n v="0"/>
    <n v="37"/>
    <n v="1"/>
    <n v="9.5359999999999996"/>
    <n v="0.38800335570469802"/>
    <n v="0.25772972972972902"/>
    <n v="0"/>
    <s v="-"/>
    <s v="null"/>
    <n v="200"/>
  </r>
  <r>
    <s v="CPA - uniform - Video-IS Xvideos - iOS - USA"/>
    <x v="71"/>
    <s v="1b. Launch"/>
    <s v="Running"/>
    <n v="7727816"/>
    <s v="Video (Video)"/>
    <n v="0"/>
    <n v="23"/>
    <n v="1"/>
    <n v="10.875999999999999"/>
    <n v="0.21147480691430601"/>
    <n v="0.47286956521739099"/>
    <n v="0"/>
    <s v="-"/>
    <s v="null"/>
    <n v="200"/>
  </r>
  <r>
    <s v="CPA - leather - Video-IS Xvideos - iOS - USA"/>
    <x v="72"/>
    <s v="1b. Launch"/>
    <s v="Running"/>
    <n v="7727796"/>
    <s v="Video (Video)"/>
    <n v="0"/>
    <n v="25"/>
    <n v="1.4057747559529199"/>
    <n v="15.408697099999999"/>
    <n v="0.22808137943618201"/>
    <n v="0.61634788399999996"/>
    <n v="0"/>
    <s v="-"/>
    <s v="null"/>
    <n v="200"/>
  </r>
  <r>
    <s v="CPA - italian - Video-IS Xvideos - iOS - USA"/>
    <x v="73"/>
    <s v="a99. Archived"/>
    <s v="Paused"/>
    <n v="7727714"/>
    <s v="Video (Video)"/>
    <n v="0"/>
    <n v="184"/>
    <n v="1.7179689733331001"/>
    <n v="100.0493591"/>
    <n v="0.31595034084860102"/>
    <n v="0.54374651684782604"/>
    <n v="0"/>
    <s v="-"/>
    <s v="null"/>
    <n v="200"/>
  </r>
  <r>
    <s v="CPA - french - Video-IS Xvideos - iOS - USA"/>
    <x v="74"/>
    <s v="1b. Launch"/>
    <s v="Completed"/>
    <n v="7727694"/>
    <s v="Video (Video)"/>
    <n v="0"/>
    <n v="151"/>
    <n v="1.4690354544920601"/>
    <n v="100.05453577"/>
    <n v="0.221703445946937"/>
    <n v="0.66261281966887398"/>
    <n v="0"/>
    <s v="-"/>
    <s v="null"/>
    <n v="200"/>
  </r>
  <r>
    <s v="CPA - german - Video-IS Xvideos - iOS - USA"/>
    <x v="75"/>
    <s v="1b. Launch"/>
    <s v="Running"/>
    <n v="7727672"/>
    <s v="Video (Video)"/>
    <n v="0"/>
    <n v="31"/>
    <n v="1"/>
    <n v="11.948"/>
    <n v="0.259457649815868"/>
    <n v="0.38541935483870898"/>
    <n v="0"/>
    <s v="-"/>
    <s v="null"/>
    <n v="200"/>
  </r>
  <r>
    <s v="CPA - russian - Video-IS Xvideos - iOS - USA"/>
    <x v="76"/>
    <s v="1b. Launch"/>
    <s v="Running"/>
    <n v="7727652"/>
    <s v="Video (Video)"/>
    <n v="0"/>
    <n v="139"/>
    <n v="1"/>
    <n v="21.701999999999899"/>
    <n v="0.64049396368998202"/>
    <n v="0.15612949640287699"/>
    <n v="0"/>
    <s v="-"/>
    <s v="null"/>
    <n v="200"/>
  </r>
  <r>
    <s v="CPA - thailand - Video-IS Xvideos - iOS - USA"/>
    <x v="77"/>
    <s v="a99. Archived"/>
    <s v="Paused"/>
    <n v="7727628"/>
    <s v="Video (Video)"/>
    <n v="0"/>
    <n v="152"/>
    <n v="1.6591052739669201"/>
    <n v="100.01252502"/>
    <n v="0.25215241950199802"/>
    <n v="0.65797713828947302"/>
    <n v="0"/>
    <s v="-"/>
    <s v="null"/>
    <n v="200"/>
  </r>
  <r>
    <s v="CPA - korean - Video-IS Xvideos - iOS - USA"/>
    <x v="78"/>
    <s v="1b. Launch"/>
    <s v="Running"/>
    <n v="7727608"/>
    <s v="Video (Video)"/>
    <n v="0"/>
    <n v="19"/>
    <n v="1"/>
    <n v="11.613"/>
    <n v="0.16360974769654599"/>
    <n v="0.61121052631578898"/>
    <n v="0"/>
    <s v="-"/>
    <s v="null"/>
    <n v="200"/>
  </r>
  <r>
    <s v="CPA - shower - Video-IS Xvideos - iOS - USA"/>
    <x v="79"/>
    <s v="a99. Archived"/>
    <s v="Paused"/>
    <n v="7727588"/>
    <s v="Video (Video)"/>
    <n v="0"/>
    <n v="142"/>
    <n v="1"/>
    <n v="65.091999999999999"/>
    <n v="0.21815276838935599"/>
    <n v="0.45839436619718299"/>
    <n v="0"/>
    <s v="-"/>
    <s v="null"/>
    <n v="200"/>
  </r>
  <r>
    <s v="CPA - secretary - Video-IS Xvideos - iOS - USA"/>
    <x v="80"/>
    <s v="1b. Launch"/>
    <s v="Running"/>
    <n v="7727568"/>
    <s v="Video (Video)"/>
    <n v="0"/>
    <n v="29"/>
    <n v="1"/>
    <n v="15.565"/>
    <n v="0.186315451333119"/>
    <n v="0.53672413793103402"/>
    <n v="0"/>
    <s v="-"/>
    <s v="null"/>
    <n v="50"/>
  </r>
  <r>
    <s v="CPA - tattoo - Video-IS Xvideos - iOS - USA"/>
    <x v="81"/>
    <s v="a99. Archived"/>
    <s v="Paused"/>
    <n v="7727504"/>
    <s v="Video (Video)"/>
    <n v="0"/>
    <n v="280"/>
    <n v="1"/>
    <n v="100.015"/>
    <n v="0.27995800629905498"/>
    <n v="0.35719642857142803"/>
    <n v="0"/>
    <s v="-"/>
    <s v="null"/>
    <n v="50"/>
  </r>
  <r>
    <s v="CPA - pantyhose - Video-IS Xvideos - iOS - USA"/>
    <x v="82"/>
    <s v="1b. Launch"/>
    <s v="Completed"/>
    <n v="7727480"/>
    <s v="Video (Video)"/>
    <n v="0"/>
    <n v="197"/>
    <n v="1.54138468606998"/>
    <n v="100.04049028"/>
    <n v="0.303529883056253"/>
    <n v="0.507819747614213"/>
    <n v="0"/>
    <s v="-"/>
    <s v="null"/>
    <n v="200"/>
  </r>
  <r>
    <s v="CPA - emo - Video-IS Xvideos - iOS - USA"/>
    <x v="83"/>
    <s v="a99. Archived"/>
    <s v="Paused"/>
    <n v="7727130"/>
    <s v="Video (Video)"/>
    <n v="0"/>
    <n v="159"/>
    <n v="1.75481030418117"/>
    <n v="100.264596349999"/>
    <n v="0.278278523548663"/>
    <n v="0.63059494559748397"/>
    <n v="0"/>
    <s v="-"/>
    <s v="null"/>
    <n v="50"/>
  </r>
  <r>
    <s v="CPA - thick - Video-IS Xvideos - iOS - USA"/>
    <x v="84"/>
    <s v="a99. Archived"/>
    <s v="Paused"/>
    <n v="7727072"/>
    <s v="Video (Video)"/>
    <n v="0"/>
    <n v="206"/>
    <n v="1"/>
    <n v="100.008"/>
    <n v="0.20598352131829401"/>
    <n v="0.48547572815533901"/>
    <n v="0"/>
    <s v="-"/>
    <s v="null"/>
    <n v="50"/>
  </r>
  <r>
    <s v="CPA - college - Video-IS Xvideos - iOS - USA"/>
    <x v="85"/>
    <s v="1b. Launch"/>
    <s v="Running"/>
    <n v="7727046"/>
    <s v="Video (Video)"/>
    <n v="0"/>
    <n v="96"/>
    <n v="1"/>
    <n v="32.957000000000001"/>
    <n v="0.29128864884546501"/>
    <n v="0.34330208333333301"/>
    <n v="0"/>
    <s v="-"/>
    <s v="null"/>
    <n v="50"/>
  </r>
  <r>
    <s v="CPA - fetish - Video-IS Xvideos - iOS - USA"/>
    <x v="86"/>
    <s v="a99. Archived"/>
    <s v="Paused"/>
    <n v="7726976"/>
    <s v="Video (Video)"/>
    <n v="0"/>
    <n v="258"/>
    <n v="0.999999999999999"/>
    <n v="100.012999999999"/>
    <n v="0.257966464359633"/>
    <n v="0.38764728682170502"/>
    <n v="0"/>
    <s v="-"/>
    <s v="null"/>
    <n v="50"/>
  </r>
  <r>
    <s v="CPA - redhead - Video-IS Xvideos - iOS - USA"/>
    <x v="87"/>
    <s v="a99. Archived"/>
    <s v="Paused"/>
    <n v="7726906"/>
    <s v="Video (Video)"/>
    <n v="0"/>
    <n v="275"/>
    <n v="1"/>
    <n v="100.017"/>
    <n v="0.274953257946149"/>
    <n v="0.36369818181818098"/>
    <n v="0"/>
    <s v="-"/>
    <s v="null"/>
    <n v="200"/>
  </r>
  <r>
    <s v="CPA - nurse - Video-IS Xvideos - iOS - USA"/>
    <x v="88"/>
    <s v="1b. Launch"/>
    <s v="Running"/>
    <n v="7726882"/>
    <s v="Video (Video)"/>
    <n v="0"/>
    <n v="28"/>
    <n v="0.999999999999999"/>
    <n v="8.1489999999999991"/>
    <n v="0.343600441771996"/>
    <n v="0.29103571428571401"/>
    <n v="0"/>
    <s v="-"/>
    <s v="null"/>
    <n v="50"/>
  </r>
  <r>
    <s v="CPA - teacher - Video-IS Xvideos - iOS - USA"/>
    <x v="89"/>
    <s v="1b. Launch"/>
    <s v="Running"/>
    <n v="7726838"/>
    <s v="Video (Video)"/>
    <n v="0"/>
    <n v="48"/>
    <n v="1"/>
    <n v="12.964"/>
    <n v="0.37025609379821001"/>
    <n v="0.27008333333333301"/>
    <n v="0"/>
    <s v="-"/>
    <s v="null"/>
    <n v="50"/>
  </r>
  <r>
    <s v="CPA - bbw - Video-IS Xvideos - iOS - USA"/>
    <x v="90"/>
    <s v="1b. Launch"/>
    <s v="Running"/>
    <n v="7726818"/>
    <s v="Video (Video)"/>
    <n v="0"/>
    <n v="41"/>
    <n v="1"/>
    <n v="16.329000000000001"/>
    <n v="0.25108702308775799"/>
    <n v="0.39826829268292602"/>
    <n v="0"/>
    <s v="-"/>
    <s v="null"/>
    <n v="50"/>
  </r>
  <r>
    <s v="CPA - gangbang - Video-IS Xvideos - iOS - USA"/>
    <x v="91"/>
    <s v="a99. Archived"/>
    <s v="Paused"/>
    <n v="7726668"/>
    <s v="Video (Video)"/>
    <n v="0"/>
    <n v="230"/>
    <n v="1"/>
    <n v="100.044"/>
    <n v="0.22989884450841599"/>
    <n v="0.43497391304347799"/>
    <n v="0"/>
    <s v="-"/>
    <s v="null"/>
    <n v="50"/>
  </r>
  <r>
    <s v="CPA - massage - Video-IS Xvideos - iOS - USA"/>
    <x v="92"/>
    <s v="a99. Archived"/>
    <s v="Paused"/>
    <n v="7726578"/>
    <s v="Video (Video)"/>
    <n v="0"/>
    <n v="271"/>
    <n v="1"/>
    <n v="100.006"/>
    <n v="0.27098374097554101"/>
    <n v="0.36902583025830199"/>
    <n v="0"/>
    <s v="-"/>
    <s v="null"/>
    <n v="200"/>
  </r>
  <r>
    <s v="CPA - pinay - Video-IS Xvideos - iOS - USA"/>
    <x v="93"/>
    <s v="a99. Archived"/>
    <s v="Paused"/>
    <n v="7726280"/>
    <s v="Video (Video)"/>
    <n v="0"/>
    <n v="178"/>
    <n v="1.63704600945649"/>
    <n v="100.05952619"/>
    <n v="0.29122083701449503"/>
    <n v="0.56213216960674095"/>
    <n v="0"/>
    <s v="-"/>
    <s v="null"/>
    <n v="200"/>
  </r>
  <r>
    <s v="CPA - Findom - Video-IS Xvideos - iOS - USA"/>
    <x v="94"/>
    <s v="1b. Launch"/>
    <s v="Running"/>
    <n v="7718258"/>
    <s v="Video (Video)"/>
    <n v="0"/>
    <n v="8"/>
    <n v="1.6800208511777299"/>
    <n v="3.1382789500000001"/>
    <n v="0.42826552462526701"/>
    <n v="0.39228486875000002"/>
    <n v="0"/>
    <s v="-"/>
    <s v="null"/>
    <n v="200"/>
  </r>
  <r>
    <s v="CPA - Cosplay - Video-IS Xvideos - iOS - USA"/>
    <x v="95"/>
    <s v="1b. Launch"/>
    <s v="Running"/>
    <n v="7718248"/>
    <s v="Video (Video)"/>
    <n v="0"/>
    <n v="28"/>
    <n v="1"/>
    <n v="5.6029999999999998"/>
    <n v="0.49973228627520899"/>
    <n v="0.20010714285714201"/>
    <n v="0"/>
    <s v="-"/>
    <s v="null"/>
    <n v="200"/>
  </r>
  <r>
    <s v="CPA - Vtuber - Video-IS Xvideos - iOS - USA"/>
    <x v="96"/>
    <s v="1b. Launch"/>
    <s v="Running"/>
    <n v="7718216"/>
    <s v="Video (Video)"/>
    <n v="0"/>
    <n v="2"/>
    <n v="1.55521661016949"/>
    <n v="0.55054667999999995"/>
    <n v="0.56497175141242895"/>
    <n v="0.27527333999999998"/>
    <n v="0"/>
    <s v="-"/>
    <s v="null"/>
    <n v="200"/>
  </r>
  <r>
    <s v="CPA - Sexdoll - Video-IS Xvideos - iOS - USA"/>
    <x v="97"/>
    <s v="1b. Launch"/>
    <s v="Running"/>
    <n v="7718186"/>
    <s v="Video (Video)"/>
    <n v="0"/>
    <n v="6"/>
    <n v="1.5160385058505801"/>
    <n v="3.3686375599999998"/>
    <n v="0.27002700270027002"/>
    <n v="0.56143959333333304"/>
    <n v="0"/>
    <s v="-"/>
    <s v="null"/>
    <n v="200"/>
  </r>
  <r>
    <s v="CPA - Marvel - Video-IS Xvideos - iOS - USA"/>
    <x v="98"/>
    <s v="1b. Launch"/>
    <s v="Running"/>
    <n v="7718164"/>
    <s v="Video (Video)"/>
    <n v="0"/>
    <n v="41"/>
    <n v="1.6206979215475901"/>
    <n v="39.29220041"/>
    <n v="0.16911400758950601"/>
    <n v="0.95834635146341396"/>
    <n v="0"/>
    <s v="-"/>
    <s v="null"/>
    <n v="200"/>
  </r>
  <r>
    <s v="CPA - Pegging - Video-IS Xvideos - iOS - USA"/>
    <x v="99"/>
    <s v="1b. Launch"/>
    <s v="Running"/>
    <n v="7718154"/>
    <s v="Video (Video)"/>
    <n v="0"/>
    <n v="21"/>
    <n v="1"/>
    <n v="6.1749999999999998"/>
    <n v="0.34008097165991902"/>
    <n v="0.294047619047619"/>
    <n v="0"/>
    <s v="-"/>
    <s v="null"/>
    <n v="200"/>
  </r>
  <r>
    <s v="CPA - Category: Lesbians - Video-IS Xvideos - iOS - USA"/>
    <x v="100"/>
    <s v="a99. Archived"/>
    <s v="Paused"/>
    <n v="7718046"/>
    <s v="Video (Video)"/>
    <n v="0"/>
    <n v="426"/>
    <n v="1"/>
    <n v="130.685"/>
    <n v="0.32597467192103102"/>
    <n v="0.30677230046948301"/>
    <n v="0"/>
    <s v="-"/>
    <s v="null"/>
    <n v="200"/>
  </r>
  <r>
    <s v="CPA - Category: Cartoons/Hentai - Video-IS Xvideos - Android Other - EGY"/>
    <x v="101"/>
    <s v="1e. Ocean"/>
    <s v="Running"/>
    <n v="7717910"/>
    <s v="Video (Video)"/>
    <n v="0"/>
    <n v="1"/>
    <n v="4.25588372093023E-2"/>
    <n v="3.6600600000000001E-3"/>
    <n v="1.16279069767441"/>
    <n v="3.6600600000000001E-3"/>
    <n v="0"/>
    <s v="-"/>
    <s v="null"/>
    <n v="200"/>
  </r>
  <r>
    <s v="CPA - Category: Cartoons/Hentai - Video-IS Xvideos - Android Other - MEX"/>
    <x v="101"/>
    <s v="1e. Ocean"/>
    <s v="Running"/>
    <n v="7717908"/>
    <s v="Video (Video)"/>
    <n v="0"/>
    <n v="0"/>
    <n v="9.2032000000000003E-2"/>
    <n v="5.9820799999999999E-3"/>
    <n v="0"/>
    <n v="0"/>
    <n v="0"/>
    <s v="-"/>
    <s v="null"/>
    <n v="200"/>
  </r>
  <r>
    <s v="CPA - Category: Cartoons/Hentai - Video-IS Xvideos - Android Other - JPN"/>
    <x v="101"/>
    <s v="1e. Ocean"/>
    <s v="Running"/>
    <n v="7717906"/>
    <s v="Video (Video)"/>
    <n v="0"/>
    <n v="0"/>
    <n v="0.390563285714285"/>
    <n v="2.7339430000000001E-2"/>
    <n v="0"/>
    <n v="0"/>
    <n v="0"/>
    <s v="-"/>
    <s v="null"/>
    <n v="200"/>
  </r>
  <r>
    <s v="CPA - Category: Cartoons/Hentai - Video-IS Xvideos - Android Other - NLD"/>
    <x v="101"/>
    <s v="1e. Ocean"/>
    <s v="Running"/>
    <n v="7717904"/>
    <s v="Video (Video)"/>
    <n v="0"/>
    <n v="29"/>
    <n v="1.00867516154452"/>
    <n v="3.8400263400000001"/>
    <n v="0.76175466246388202"/>
    <n v="0.13241470137931"/>
    <n v="0"/>
    <s v="-"/>
    <s v="null"/>
    <n v="200"/>
  </r>
  <r>
    <s v="CPA - Category: Cartoons/Hentai - Video-IS Xvideos - Android Other - NOR"/>
    <x v="101"/>
    <s v="1e. Ocean"/>
    <s v="Running"/>
    <n v="7717902"/>
    <s v="Video (Video)"/>
    <n v="0"/>
    <n v="2"/>
    <n v="1.3160494285714199"/>
    <n v="9.2123460000000004E-2"/>
    <n v="2.8571428571428501"/>
    <n v="4.6061730000000002E-2"/>
    <n v="0"/>
    <s v="-"/>
    <s v="null"/>
    <n v="200"/>
  </r>
  <r>
    <s v="CPA - Category: Cartoons/Hentai - Video-IS Xvideos - Android Other - NZL"/>
    <x v="101"/>
    <s v="1e. Ocean"/>
    <s v="Running"/>
    <n v="7717900"/>
    <s v="Video (Video)"/>
    <n v="0"/>
    <n v="2"/>
    <n v="1.01626582278481"/>
    <n v="8.0284999999999995E-2"/>
    <n v="2.5316455696202498"/>
    <n v="4.0142499999999998E-2"/>
    <n v="0"/>
    <s v="-"/>
    <s v="null"/>
    <n v="200"/>
  </r>
  <r>
    <s v="CPA - Category: Cartoons/Hentai - Video-IS Xvideos - Android Other - AUS"/>
    <x v="101"/>
    <s v="1e. Ocean"/>
    <s v="Running"/>
    <n v="7717898"/>
    <s v="Video (Video)"/>
    <n v="0"/>
    <n v="1"/>
    <n v="1.30439975308641"/>
    <n v="0.10565637999999999"/>
    <n v="1.2345679012345601"/>
    <n v="0.10565637999999999"/>
    <n v="0"/>
    <s v="-"/>
    <s v="null"/>
    <n v="200"/>
  </r>
  <r>
    <s v="CPA - Category: Cartoons/Hentai - Video-IS Xvideos - Android Other - USA"/>
    <x v="101"/>
    <s v="1e. Ocean"/>
    <s v="Running"/>
    <n v="7717896"/>
    <s v="Video (Video)"/>
    <n v="0"/>
    <n v="635"/>
    <n v="1.2805470427463299"/>
    <n v="91.128849750000001"/>
    <n v="0.89230509808330005"/>
    <n v="0.14350999960629901"/>
    <n v="0"/>
    <s v="-"/>
    <s v="null"/>
    <n v="200"/>
  </r>
  <r>
    <s v="CPA - Category: Cartoons/Hentai - Video-IS Xvideos - Android Generic - EGY"/>
    <x v="101"/>
    <s v="1e. Ocean"/>
    <s v="Running"/>
    <n v="7717894"/>
    <s v="Video (Video)"/>
    <n v="0"/>
    <n v="3234"/>
    <n v="5.5006358066929599E-2"/>
    <n v="29.26129225"/>
    <n v="0.60793816099646203"/>
    <n v="9.0480186301793407E-3"/>
    <n v="0"/>
    <s v="-"/>
    <s v="null"/>
    <n v="200"/>
  </r>
  <r>
    <s v="CPA - Category: Cartoons/Hentai - Video-IS Xvideos - Android Generic - JPN"/>
    <x v="101"/>
    <s v="1e. Ocean"/>
    <s v="Running"/>
    <n v="7717890"/>
    <s v="Video (Video)"/>
    <n v="0"/>
    <n v="1029"/>
    <n v="0.44199417358314702"/>
    <n v="98.679177199999998"/>
    <n v="0.46089967257758901"/>
    <n v="9.5898131389698701E-2"/>
    <n v="0"/>
    <s v="-"/>
    <s v="null"/>
    <n v="200"/>
  </r>
  <r>
    <s v="CPA - Category: Cartoons/Hentai - Video-IS Xvideos - Android Generic - AUS"/>
    <x v="101"/>
    <s v="1e. Ocean"/>
    <s v="Running"/>
    <n v="7717878"/>
    <s v="Video (Video)"/>
    <n v="0"/>
    <n v="3"/>
    <n v="1.315482"/>
    <n v="1.0852726500000001"/>
    <n v="0.36363636363636298"/>
    <n v="0.36175754999999998"/>
    <n v="0"/>
    <s v="-"/>
    <s v="null"/>
    <n v="200"/>
  </r>
  <r>
    <s v="CPA - Category: Cartoons/Hentai - Video-IS Xvideos - Windows 11 - NLD"/>
    <x v="101"/>
    <s v="a99. Archived"/>
    <s v="Paused"/>
    <n v="7717866"/>
    <s v="Video (Video)"/>
    <n v="0"/>
    <n v="0"/>
    <n v="2"/>
    <n v="2E-3"/>
    <n v="0"/>
    <n v="0"/>
    <n v="0"/>
    <s v="-"/>
    <s v="null"/>
    <n v="200"/>
  </r>
  <r>
    <s v="CPA - Category: Cartoons/Hentai - Video-IS Xvideos - Windows 11 - USA"/>
    <x v="101"/>
    <s v="1e. Ocean"/>
    <s v="Running"/>
    <n v="7717858"/>
    <s v="Video (Video)"/>
    <n v="0"/>
    <n v="0"/>
    <n v="1.8625282608695599"/>
    <n v="4.2838149999999998E-2"/>
    <n v="0"/>
    <n v="0"/>
    <n v="0"/>
    <s v="-"/>
    <s v="null"/>
    <n v="200"/>
  </r>
  <r>
    <s v="CPA - Category: Cartoons/Hentai - Video-IS Xvideos - MacOS - EGY"/>
    <x v="101"/>
    <s v="1e. Ocean"/>
    <s v="Running"/>
    <n v="7717856"/>
    <s v="Video (Video)"/>
    <n v="0"/>
    <n v="0"/>
    <n v="4.3709076923076899E-2"/>
    <n v="2.8410900000000001E-3"/>
    <n v="0"/>
    <n v="0"/>
    <n v="0"/>
    <s v="-"/>
    <s v="null"/>
    <n v="200"/>
  </r>
  <r>
    <s v="CPA - Category: Cartoons/Hentai - Video-IS Xvideos - MacOS - MEX"/>
    <x v="101"/>
    <s v="1e. Ocean"/>
    <s v="Running"/>
    <n v="7717854"/>
    <s v="Video (Video)"/>
    <n v="0"/>
    <n v="59"/>
    <n v="0.33864866898148099"/>
    <n v="4.6814792000000001"/>
    <n v="0.42679398148148101"/>
    <n v="7.9347105084745698E-2"/>
    <n v="0"/>
    <s v="-"/>
    <s v="null"/>
    <n v="200"/>
  </r>
  <r>
    <s v="CPA - Category: Cartoons/Hentai - Video-IS Xvideos - MacOS - JPN"/>
    <x v="101"/>
    <s v="1e. Ocean"/>
    <s v="Running"/>
    <n v="7717852"/>
    <s v="Video (Video)"/>
    <n v="0"/>
    <n v="3"/>
    <n v="0.72869593749999895"/>
    <n v="0.349774049999999"/>
    <n v="0.625"/>
    <n v="0.116591349999999"/>
    <n v="0"/>
    <s v="-"/>
    <s v="null"/>
    <n v="200"/>
  </r>
  <r>
    <s v="CPA - Category: Cartoons/Hentai - Video-IS Xvideos - MacOS - NLD"/>
    <x v="101"/>
    <s v="1e. Ocean"/>
    <s v="Running"/>
    <n v="7717850"/>
    <s v="Video (Video)"/>
    <n v="0"/>
    <n v="0"/>
    <n v="1.0652906976744101"/>
    <n v="9.1615000000000002E-2"/>
    <n v="0"/>
    <n v="0"/>
    <n v="0"/>
    <s v="-"/>
    <s v="null"/>
    <n v="200"/>
  </r>
  <r>
    <s v="CPA - Category: Cartoons/Hentai - Video-IS Xvideos - MacOS - NOR"/>
    <x v="101"/>
    <s v="1e. Ocean"/>
    <s v="Running"/>
    <n v="7717848"/>
    <s v="Video (Video)"/>
    <n v="0"/>
    <n v="0"/>
    <n v="1.0293648648648599"/>
    <n v="7.6173000000000005E-2"/>
    <n v="0"/>
    <n v="0"/>
    <n v="0"/>
    <s v="-"/>
    <s v="null"/>
    <n v="200"/>
  </r>
  <r>
    <s v="CPA - Category: Cartoons/Hentai - Video-IS Xvideos - MacOS - NZL"/>
    <x v="101"/>
    <s v="1e. Ocean"/>
    <s v="Running"/>
    <n v="7717846"/>
    <s v="Video (Video)"/>
    <n v="0"/>
    <n v="0"/>
    <n v="1.0307191011235901"/>
    <n v="9.1733999999999996E-2"/>
    <n v="0"/>
    <n v="0"/>
    <n v="0"/>
    <s v="-"/>
    <s v="null"/>
    <n v="200"/>
  </r>
  <r>
    <s v="CPA - Category: Cartoons/Hentai - Video-IS Xvideos - MacOS - AUS"/>
    <x v="101"/>
    <s v="1e. Ocean"/>
    <s v="Running"/>
    <n v="7717844"/>
    <s v="Video (Video)"/>
    <n v="0"/>
    <n v="1"/>
    <n v="1.05016518072289"/>
    <n v="0.17432742000000001"/>
    <n v="0.60240963855421603"/>
    <n v="0.17432742000000001"/>
    <n v="0"/>
    <s v="-"/>
    <s v="null"/>
    <n v="200"/>
  </r>
  <r>
    <s v="CPA - Category: Cartoons/Hentai - Video-IS Xvideos - MacOS - USA"/>
    <x v="101"/>
    <s v="1e. Ocean"/>
    <s v="Running"/>
    <n v="7717840"/>
    <s v="Video (Video)"/>
    <n v="0"/>
    <n v="22"/>
    <n v="1.41455842840512"/>
    <n v="2.4302113799999998"/>
    <n v="1.28055878928987"/>
    <n v="0.110464153636363"/>
    <n v="0"/>
    <s v="-"/>
    <s v="null"/>
    <n v="200"/>
  </r>
  <r>
    <s v="CPA - Category: Cartoons/Hentai - Video-IS Xvideos - Windows 10 - EGY"/>
    <x v="101"/>
    <s v="1e. Ocean"/>
    <s v="Running"/>
    <n v="7717838"/>
    <s v="Video (Video)"/>
    <n v="0"/>
    <n v="2"/>
    <n v="3.6398600000000003E-2"/>
    <n v="7.2797199999999999E-3"/>
    <n v="1"/>
    <n v="3.63986E-3"/>
    <n v="0"/>
    <s v="-"/>
    <s v="null"/>
    <n v="200"/>
  </r>
  <r>
    <s v="CPA - Category: Cartoons/Hentai - Video-IS Xvideos - Windows 10 - MEX"/>
    <x v="101"/>
    <s v="1e. Ocean"/>
    <s v="Running"/>
    <n v="7717836"/>
    <s v="Video (Video)"/>
    <n v="0"/>
    <n v="7"/>
    <n v="0.97731914285714205"/>
    <n v="0.85515424999999901"/>
    <n v="0.8"/>
    <n v="0.12216489285714199"/>
    <n v="0"/>
    <s v="-"/>
    <s v="null"/>
    <n v="200"/>
  </r>
  <r>
    <s v="CPA - Category: Cartoons/Hentai - Video-IS Xvideos - Windows 10 - JPN"/>
    <x v="101"/>
    <s v="1e. Ocean"/>
    <s v="Running"/>
    <n v="7717834"/>
    <s v="Video (Video)"/>
    <n v="0"/>
    <n v="111"/>
    <n v="0.46480862097237002"/>
    <n v="11.3385414999999"/>
    <n v="0.45502992539148901"/>
    <n v="0.102149022522522"/>
    <n v="0"/>
    <s v="-"/>
    <s v="null"/>
    <n v="200"/>
  </r>
  <r>
    <s v="CPA - Category: Cartoons/Hentai - Video-IS Xvideos - Windows 10 - NLD"/>
    <x v="101"/>
    <s v="1e. Ocean"/>
    <s v="Running"/>
    <n v="7717832"/>
    <s v="Video (Video)"/>
    <n v="0"/>
    <n v="0"/>
    <n v="1.02443457943925"/>
    <n v="0.21922899999999901"/>
    <n v="0"/>
    <n v="0"/>
    <n v="0"/>
    <s v="-"/>
    <s v="null"/>
    <n v="200"/>
  </r>
  <r>
    <s v="CPA - Category: Cartoons/Hentai - Video-IS Xvideos - Windows 10 - NOR"/>
    <x v="101"/>
    <s v="1e. Ocean"/>
    <s v="Running"/>
    <n v="7717830"/>
    <s v="Video (Video)"/>
    <n v="0"/>
    <n v="0"/>
    <n v="1.0331949152542299"/>
    <n v="0.121917"/>
    <n v="0"/>
    <n v="0"/>
    <n v="0"/>
    <s v="-"/>
    <s v="null"/>
    <n v="200"/>
  </r>
  <r>
    <s v="CPA - Category: Cartoons/Hentai - Video-IS Xvideos - Windows 10 - NZL"/>
    <x v="101"/>
    <s v="1e. Ocean"/>
    <s v="Running"/>
    <n v="7717828"/>
    <s v="Video (Video)"/>
    <n v="0"/>
    <n v="1"/>
    <n v="1.0233514450867001"/>
    <n v="0.1770398"/>
    <n v="0.57803468208092401"/>
    <n v="0.1770398"/>
    <n v="0"/>
    <s v="-"/>
    <s v="null"/>
    <n v="200"/>
  </r>
  <r>
    <s v="CPA - Category: Cartoons/Hentai - Video-IS Xvideos - Windows 10 - AUS"/>
    <x v="101"/>
    <s v="1e. Ocean"/>
    <s v="Running"/>
    <n v="7717824"/>
    <s v="Video (Video)"/>
    <n v="0"/>
    <n v="0"/>
    <n v="1.2373169581749"/>
    <n v="0.65082871999999903"/>
    <n v="0"/>
    <n v="0"/>
    <n v="0"/>
    <s v="-"/>
    <s v="null"/>
    <n v="200"/>
  </r>
  <r>
    <s v="CPA - Category: Cartoons/Hentai - Video-IS Xvideos - iOS - EGY"/>
    <x v="101"/>
    <s v="1e. Ocean"/>
    <s v="Running"/>
    <n v="7717820"/>
    <s v="Video (Video)"/>
    <n v="0"/>
    <n v="254"/>
    <n v="0.515212752673612"/>
    <n v="44.899760969999903"/>
    <n v="0.29145820902372899"/>
    <n v="0.17677071248031401"/>
    <n v="0"/>
    <s v="-"/>
    <s v="null"/>
    <n v="200"/>
  </r>
  <r>
    <s v="CPA - Category: Cartoons/Hentai - Video-IS Xvideos - iOS - MEX"/>
    <x v="101"/>
    <s v="1e. Ocean"/>
    <s v="Running"/>
    <n v="7717818"/>
    <s v="Video (Video)"/>
    <n v="0"/>
    <n v="2"/>
    <n v="0.98639220916568704"/>
    <n v="0.83941976999999901"/>
    <n v="0.23501762632197401"/>
    <n v="0.41970988499999901"/>
    <n v="0"/>
    <s v="-"/>
    <s v="null"/>
    <n v="200"/>
  </r>
  <r>
    <s v="CPA - Category: Cartoons/Hentai - Video-IS Xvideos - iOS - NOR"/>
    <x v="101"/>
    <s v="1e. Ocean"/>
    <s v="Running"/>
    <n v="7717812"/>
    <s v="Video (Video)"/>
    <n v="0"/>
    <n v="1"/>
    <n v="1.5876130344827499"/>
    <n v="0.46040777999999999"/>
    <n v="0.34482758620689602"/>
    <n v="0.46040777999999999"/>
    <n v="0"/>
    <s v="-"/>
    <s v="null"/>
    <n v="200"/>
  </r>
  <r>
    <s v="CPA - Category: Cartoons/Hentai - Video-IS Xvideos - iOS - NZL"/>
    <x v="101"/>
    <s v="1e. Ocean"/>
    <s v="Running"/>
    <n v="7717810"/>
    <s v="Video (Video)"/>
    <n v="0"/>
    <n v="2"/>
    <n v="1.0988775851063799"/>
    <n v="1.03294493"/>
    <n v="0.21276595744680801"/>
    <n v="0.51647246499999999"/>
    <n v="0"/>
    <s v="-"/>
    <s v="null"/>
    <n v="200"/>
  </r>
  <r>
    <s v="CPA - Category: Cartoons/Hentai - Video-IS Xvideos - iOS - AUS"/>
    <x v="101"/>
    <s v="1e. Ocean"/>
    <s v="Running"/>
    <n v="7717808"/>
    <s v="Video (Video)"/>
    <n v="0"/>
    <n v="2"/>
    <n v="1.29530540620384"/>
    <n v="0.87692175999999999"/>
    <n v="0.29542097488921698"/>
    <n v="0.43846088"/>
    <n v="0"/>
    <s v="-"/>
    <s v="null"/>
    <n v="200"/>
  </r>
  <r>
    <s v="[BASE] CPA - General - Video-IS Xvideos - [Device] - [Region]"/>
    <x v="102"/>
    <s v="0. Base Campaigns"/>
    <s v="Paused"/>
    <n v="7716844"/>
    <s v="Video (Video)"/>
    <n v="0"/>
    <n v="0"/>
    <n v="0"/>
    <n v="0"/>
    <n v="0"/>
    <n v="0"/>
    <n v="0"/>
    <s v="n/a"/>
    <s v="null"/>
    <n v="50"/>
  </r>
  <r>
    <s v="CPA - bdsm - Video-IS Xvideos - Android Generic - CA"/>
    <x v="1"/>
    <s v="a99. Archived"/>
    <s v="Paused"/>
    <n v="7791660"/>
    <s v="Video (Video)"/>
    <n v="0"/>
    <n v="416"/>
    <n v="1"/>
    <n v="126.902999999999"/>
    <n v="0.327809429249111"/>
    <n v="0.30505528846153801"/>
    <n v="1"/>
    <n v="126.902999999999"/>
    <s v="null"/>
    <s v="Unlimited"/>
  </r>
  <r>
    <s v="CPA - bdsm - Video-IS Xvideos - Android Generic - US"/>
    <x v="1"/>
    <s v="a99. Archived"/>
    <s v="Paused"/>
    <n v="7791648"/>
    <s v="Video (Video)"/>
    <n v="0"/>
    <n v="514"/>
    <n v="1"/>
    <n v="118.199"/>
    <n v="0.43485985499031199"/>
    <n v="0.22995914396887099"/>
    <n v="1"/>
    <n v="118.199"/>
    <s v="null"/>
    <s v="Unlimited"/>
  </r>
  <r>
    <s v="CPA - Disney - Video-IS Xvideos - Android Generic - Other Countries"/>
    <x v="2"/>
    <s v="a99. Archived"/>
    <s v="Paused"/>
    <n v="7791498"/>
    <s v="Video (Video)"/>
    <n v="0"/>
    <n v="1738"/>
    <n v="0.54093621206717002"/>
    <n v="148.6287155"/>
    <n v="0.63254744105807903"/>
    <n v="8.5517097525891803E-2"/>
    <n v="1"/>
    <n v="148.6287155"/>
    <s v="null"/>
    <s v="Unlimited"/>
  </r>
  <r>
    <s v="CPA - Disney - Video-IS Xvideos - iOS - Other Countries"/>
    <x v="2"/>
    <s v="a99. Archived"/>
    <s v="Paused"/>
    <n v="7791490"/>
    <s v="Video (Video)"/>
    <n v="0"/>
    <n v="544"/>
    <n v="0.41676202280444702"/>
    <n v="98.431688070000007"/>
    <n v="0.23033084655054101"/>
    <n v="0.18094060306985199"/>
    <n v="1"/>
    <n v="98.431688070000007"/>
    <s v="null"/>
    <s v="Unlimited"/>
  </r>
  <r>
    <s v="CPA - squirt - Video-IS Xvideos - Android Generic - Other Countries"/>
    <x v="3"/>
    <s v="a99. Archived"/>
    <s v="Paused"/>
    <n v="7791438"/>
    <s v="Video (Video)"/>
    <n v="0"/>
    <n v="5781"/>
    <n v="0.78732196523063203"/>
    <n v="680.41072824999901"/>
    <n v="0.66893540798579898"/>
    <n v="0.11769775614080601"/>
    <n v="1"/>
    <n v="680.41072824999901"/>
    <s v="null"/>
    <s v="Unlimited"/>
  </r>
  <r>
    <s v="CPA - squirt - Video-IS Xvideos - iOS - Other Countries"/>
    <x v="3"/>
    <s v="a99. Archived"/>
    <s v="Paused"/>
    <n v="7791430"/>
    <s v="Video (Video)"/>
    <n v="0"/>
    <n v="439"/>
    <n v="0.73534863261407002"/>
    <n v="130.86264266000001"/>
    <n v="0.246684648235558"/>
    <n v="0.298092580091116"/>
    <n v="1"/>
    <n v="130.86264266000001"/>
    <s v="null"/>
    <s v="Unlimited"/>
  </r>
  <r>
    <s v="CPA - squirt - Video-IS Xvideos - Android Generic - CA"/>
    <x v="3"/>
    <s v="a99. Archived"/>
    <s v="Paused"/>
    <n v="7791412"/>
    <s v="Video (Video)"/>
    <n v="0"/>
    <n v="603"/>
    <n v="1"/>
    <n v="146.53399999999999"/>
    <n v="0.41150859186263899"/>
    <n v="0.243008291873963"/>
    <n v="1"/>
    <n v="146.53399999999999"/>
    <s v="null"/>
    <s v="Unlimited"/>
  </r>
  <r>
    <s v="CPA - hairy - Video-IS Xvideos - Android Other - Other Countries"/>
    <x v="4"/>
    <s v="1d. Oceangate"/>
    <s v="Running"/>
    <n v="7791310"/>
    <s v="Video (Video)"/>
    <n v="0"/>
    <n v="2500"/>
    <n v="0.47320617840266699"/>
    <n v="93.93426565"/>
    <n v="1.2594077760873701"/>
    <n v="3.7573706259999999E-2"/>
    <n v="1"/>
    <n v="93.93426565"/>
    <s v="null"/>
    <s v="Unlimited"/>
  </r>
  <r>
    <s v="CPA - hairy - Video-IS Xvideos - iOS - Other Countries"/>
    <x v="4"/>
    <s v="a99. Archived"/>
    <s v="Paused"/>
    <n v="7791300"/>
    <s v="Video (Video)"/>
    <n v="0"/>
    <n v="591"/>
    <n v="0.516572773410368"/>
    <n v="130.89540819999999"/>
    <n v="0.233235461261602"/>
    <n v="0.2214812321489"/>
    <n v="1"/>
    <n v="130.89540819999999"/>
    <s v="null"/>
    <s v="Unlimited"/>
  </r>
  <r>
    <s v="CPA - hairy - Video-IS Xvideos - Android Generic - CA"/>
    <x v="4"/>
    <s v="a99. Archived"/>
    <s v="Paused"/>
    <n v="7791282"/>
    <s v="Video (Video)"/>
    <n v="0"/>
    <n v="567"/>
    <n v="1"/>
    <n v="146.18100000000001"/>
    <n v="0.38787530527223102"/>
    <n v="0.257814814814814"/>
    <n v="1"/>
    <n v="146.18100000000001"/>
    <s v="null"/>
    <s v="Unlimited"/>
  </r>
  <r>
    <s v="CPA - hairy - Video-IS Xvideos - Android Generic - US"/>
    <x v="4"/>
    <s v="a99. Archived"/>
    <s v="Paused"/>
    <n v="7791270"/>
    <s v="Video (Video)"/>
    <n v="0"/>
    <n v="2155"/>
    <n v="1"/>
    <n v="442.70699999999999"/>
    <n v="0.486777936648844"/>
    <n v="0.205432482598607"/>
    <n v="1"/>
    <n v="442.70699999999999"/>
    <s v="null"/>
    <s v="Unlimited"/>
  </r>
  <r>
    <s v="CPA - Category: Asian - Video-IS Xvideos - Android Generic - Other Countries"/>
    <x v="5"/>
    <s v="a99. Archived"/>
    <s v="Paused"/>
    <n v="7791244"/>
    <s v="Video (Video)"/>
    <n v="0"/>
    <n v="3024"/>
    <n v="0.62239812624649704"/>
    <n v="311.44926716999998"/>
    <n v="0.60431413143832302"/>
    <n v="0.102992482529761"/>
    <n v="1"/>
    <n v="311.44926716999998"/>
    <s v="null"/>
    <s v="Unlimited"/>
  </r>
  <r>
    <s v="CPA - Category: Japanese - Video-IS Xvideos - iOS - US"/>
    <x v="6"/>
    <s v="a99. Archived"/>
    <s v="Paused"/>
    <n v="7791138"/>
    <s v="Video (Video)"/>
    <n v="0"/>
    <n v="439"/>
    <n v="0.999999999999999"/>
    <n v="173.02599999999899"/>
    <n v="0.25371909424017097"/>
    <n v="0.39413667425968102"/>
    <n v="1"/>
    <n v="173.02599999999899"/>
    <s v="null"/>
    <s v="Unlimited"/>
  </r>
  <r>
    <s v="CPA - cuckold - Video-IS Xvideos - Android Generic - Other Countries"/>
    <x v="7"/>
    <s v="a99. Archived"/>
    <s v="Paused"/>
    <n v="7790996"/>
    <s v="Video (Video)"/>
    <n v="0"/>
    <n v="4690"/>
    <n v="0.49966432241591902"/>
    <n v="488.264480899999"/>
    <n v="0.479950060633349"/>
    <n v="0.10410756522388"/>
    <n v="1"/>
    <n v="488.264480899999"/>
    <s v="null"/>
    <s v="Unlimited"/>
  </r>
  <r>
    <s v="CPA - cuckold - Video-IS Xvideos - iOS - Other Countries"/>
    <x v="7"/>
    <s v="a99. Archived"/>
    <s v="Paused"/>
    <n v="7790986"/>
    <s v="Video (Video)"/>
    <n v="0"/>
    <n v="574"/>
    <n v="0.55677057959529697"/>
    <n v="140.51942918999899"/>
    <n v="0.22743211706018199"/>
    <n v="0.244807367926829"/>
    <n v="1"/>
    <n v="140.51942918999899"/>
    <s v="null"/>
    <s v="Unlimited"/>
  </r>
  <r>
    <s v="CPA - cuckold - Video-IS Xvideos - Android Generic - CA"/>
    <x v="7"/>
    <s v="a99. Archived"/>
    <s v="Paused"/>
    <n v="7790970"/>
    <s v="Video (Video)"/>
    <n v="0"/>
    <n v="453"/>
    <n v="1"/>
    <n v="136.44399999999999"/>
    <n v="0.332004338776347"/>
    <n v="0.30120088300220699"/>
    <n v="1"/>
    <n v="136.44399999999999"/>
    <s v="null"/>
    <s v="Unlimited"/>
  </r>
  <r>
    <s v="CPA - lingerie - Video-IS Xvideos - Android Generic - Other Countries"/>
    <x v="8"/>
    <s v="a99. Archived"/>
    <s v="Paused"/>
    <n v="7790932"/>
    <s v="Video (Video)"/>
    <n v="0"/>
    <n v="5567"/>
    <n v="0.51459728648868897"/>
    <n v="426.80390182999997"/>
    <n v="0.67121295789455904"/>
    <n v="7.6666768785701403E-2"/>
    <n v="1"/>
    <n v="426.80390182999997"/>
    <s v="null"/>
    <s v="Unlimited"/>
  </r>
  <r>
    <s v="CPA - lingerie - Video-IS Xvideos - Windows 10 - Other Countries"/>
    <x v="8"/>
    <s v="1d. Oceangate"/>
    <s v="Running"/>
    <n v="7790924"/>
    <s v="Video (Video)"/>
    <n v="0"/>
    <n v="976"/>
    <n v="0.32901211008653902"/>
    <n v="69.612053239999995"/>
    <n v="0.46129341758870201"/>
    <n v="7.1323825040983599E-2"/>
    <n v="1"/>
    <n v="69.612053239999995"/>
    <s v="null"/>
    <s v="Unlimited"/>
  </r>
  <r>
    <s v="CPA - power - Video-IS Xvideos - Android Generic - US"/>
    <x v="9"/>
    <s v="a99. Archived"/>
    <s v="Paused"/>
    <n v="7790824"/>
    <s v="Video (Video)"/>
    <n v="0"/>
    <n v="438"/>
    <n v="1.53727450471617"/>
    <n v="135.43542113999999"/>
    <n v="0.49715667245547701"/>
    <n v="0.30921329027397199"/>
    <n v="1"/>
    <n v="135.43542113999999"/>
    <s v="null"/>
    <s v="Unlimited"/>
  </r>
  <r>
    <s v="CPA - power - Video-IS Xvideos - iOS - US"/>
    <x v="9"/>
    <s v="a99. Archived"/>
    <s v="Paused"/>
    <n v="7790816"/>
    <s v="Video (Video)"/>
    <n v="0"/>
    <n v="610"/>
    <n v="1.7081539668749199"/>
    <n v="382.21311531999999"/>
    <n v="0.27261595116152199"/>
    <n v="0.62657887757376995"/>
    <n v="1"/>
    <n v="382.21311531999999"/>
    <s v="null"/>
    <s v="Unlimited"/>
  </r>
  <r>
    <s v="CPA - Handjob - Video-IS Xvideos - Android Other - Other Countries"/>
    <x v="10"/>
    <s v="a99. Archived"/>
    <s v="Paused"/>
    <n v="7790672"/>
    <s v="Video (Video)"/>
    <n v="0"/>
    <n v="2135"/>
    <n v="0.52565170988971899"/>
    <n v="88.656417390000001"/>
    <n v="1.2658603106842099"/>
    <n v="4.1525254046838399E-2"/>
    <n v="1"/>
    <n v="88.656417390000001"/>
    <s v="null"/>
    <s v="Unlimited"/>
  </r>
  <r>
    <s v="CPA - Handjob - Video-IS Xvideos - MacOS - Other Countries"/>
    <x v="10"/>
    <s v="1d. Oceangate"/>
    <s v="Running"/>
    <n v="7790666"/>
    <s v="Video (Video)"/>
    <n v="0"/>
    <n v="187"/>
    <n v="0.44716057315233698"/>
    <n v="15.71277538"/>
    <n v="0.53217223028543703"/>
    <n v="8.4025536791443797E-2"/>
    <n v="1"/>
    <n v="15.71277538"/>
    <s v="null"/>
    <s v="Unlimited"/>
  </r>
  <r>
    <s v="CPA - Handjob - Video-IS Xvideos - Windows 10 - Other Countries"/>
    <x v="10"/>
    <s v="a99. Archived"/>
    <s v="Paused"/>
    <n v="7790664"/>
    <s v="Video (Video)"/>
    <n v="0"/>
    <n v="1060"/>
    <n v="0.42464275435481202"/>
    <n v="86.809293629999999"/>
    <n v="0.51851743147987805"/>
    <n v="8.1895560028301798E-2"/>
    <n v="1"/>
    <n v="86.809293629999999"/>
    <s v="null"/>
    <s v="Unlimited"/>
  </r>
  <r>
    <s v="CPA - Handjob - Video-IS Xvideos - Android Generic - US"/>
    <x v="10"/>
    <s v="a99. Archived"/>
    <s v="Paused"/>
    <n v="7790630"/>
    <s v="Video (Video)"/>
    <n v="0"/>
    <n v="1150"/>
    <n v="0.999999999999999"/>
    <n v="219.06099999999901"/>
    <n v="0.52496793130680497"/>
    <n v="0.190487826086956"/>
    <n v="1"/>
    <n v="219.06099999999901"/>
    <s v="null"/>
    <s v="Unlimited"/>
  </r>
  <r>
    <s v="CPA - roleplay - Video-IS Xvideos - Android Generic - Other Countries"/>
    <x v="11"/>
    <s v="a99. Archived"/>
    <s v="Paused"/>
    <n v="7790540"/>
    <s v="Video (Video)"/>
    <n v="0"/>
    <n v="4211"/>
    <n v="0.606689887762623"/>
    <n v="415.67661005000002"/>
    <n v="0.61460545424028101"/>
    <n v="9.8712089776775105E-2"/>
    <n v="1"/>
    <n v="415.67661005000002"/>
    <s v="null"/>
    <s v="Unlimited"/>
  </r>
  <r>
    <s v="CPA - roleplay - Video-IS Xvideos - iOS - Other Countries"/>
    <x v="11"/>
    <s v="a99. Archived"/>
    <s v="Paused"/>
    <n v="7790530"/>
    <s v="Video (Video)"/>
    <n v="0"/>
    <n v="638"/>
    <n v="0.59308029072916202"/>
    <n v="136.88233801999999"/>
    <n v="0.276431007066755"/>
    <n v="0.214549119153605"/>
    <n v="1"/>
    <n v="136.88233801999999"/>
    <s v="null"/>
    <s v="Unlimited"/>
  </r>
  <r>
    <s v="CPA - Category: Squirting - Video-IS Xvideos - Windows 10 - Other Countries"/>
    <x v="12"/>
    <s v="a99. Archived"/>
    <s v="Paused"/>
    <n v="7790460"/>
    <s v="Video (Video)"/>
    <n v="0"/>
    <n v="1180"/>
    <n v="0.39968236943051"/>
    <n v="88.044030750000005"/>
    <n v="0.53566970061511199"/>
    <n v="7.4613585381355901E-2"/>
    <n v="1"/>
    <n v="88.044030750000005"/>
    <s v="null"/>
    <s v="Unlimited"/>
  </r>
  <r>
    <s v="CPA - Category: Squirting - Video-IS Xvideos - Android Generic - CA"/>
    <x v="12"/>
    <s v="a99. Archived"/>
    <s v="Paused"/>
    <n v="7790436"/>
    <s v="Video (Video)"/>
    <n v="0"/>
    <n v="584"/>
    <n v="1"/>
    <n v="101.175"/>
    <n v="0.57721769211761798"/>
    <n v="0.17324486301369799"/>
    <n v="1"/>
    <n v="101.175"/>
    <s v="null"/>
    <s v="Unlimited"/>
  </r>
  <r>
    <s v="CPA - Category: Squirting - Video-IS Xvideos - iOS - US"/>
    <x v="12"/>
    <s v="a99. Archived"/>
    <s v="Paused"/>
    <n v="7790410"/>
    <s v="Video (Video)"/>
    <n v="0"/>
    <n v="542"/>
    <n v="1"/>
    <n v="218.745"/>
    <n v="0.247777092047818"/>
    <n v="0.40358856088560802"/>
    <n v="1"/>
    <n v="218.745"/>
    <s v="null"/>
    <s v="Unlimited"/>
  </r>
  <r>
    <s v="CPA - milf - Video-IS Xvideos - iOS - Other Countries"/>
    <x v="13"/>
    <s v="a99. Archived"/>
    <s v="Paused"/>
    <n v="7790300"/>
    <s v="Video (Video)"/>
    <n v="0"/>
    <n v="1912"/>
    <n v="0.58208874211006301"/>
    <n v="389.35333871"/>
    <n v="0.285846701251326"/>
    <n v="0.20363668342573199"/>
    <n v="1"/>
    <n v="389.35333871"/>
    <s v="null"/>
    <s v="Unlimited"/>
  </r>
  <r>
    <s v="CPA - milf - Video-IS Xvideos - Android Generic - AU"/>
    <x v="13"/>
    <s v="1d. Oceangate"/>
    <s v="Running"/>
    <n v="7790296"/>
    <s v="Video (Video)"/>
    <n v="0"/>
    <n v="359"/>
    <n v="1"/>
    <n v="116.554"/>
    <n v="0.30801173704892099"/>
    <n v="0.32466295264623901"/>
    <n v="1"/>
    <n v="116.554"/>
    <s v="null"/>
    <s v="Unlimited"/>
  </r>
  <r>
    <s v="CPA - milf - Video-IS Xvideos - iOS - AU"/>
    <x v="13"/>
    <s v="1d. Oceangate"/>
    <s v="Running"/>
    <n v="7790286"/>
    <s v="Video (Video)"/>
    <n v="0"/>
    <n v="86"/>
    <n v="1"/>
    <n v="41.338000000000001"/>
    <n v="0.20804102762591301"/>
    <n v="0.48067441860465099"/>
    <n v="1"/>
    <n v="41.338000000000001"/>
    <s v="null"/>
    <s v="Unlimited"/>
  </r>
  <r>
    <s v="CPA - milf - Video-IS Xvideos - Android Generic - CA"/>
    <x v="13"/>
    <s v="a99. Archived"/>
    <s v="Paused"/>
    <n v="7790282"/>
    <s v="Video (Video)"/>
    <n v="0"/>
    <n v="582"/>
    <n v="1"/>
    <n v="98.548999999999893"/>
    <n v="0.59056915848968505"/>
    <n v="0.169328178694158"/>
    <n v="1"/>
    <n v="98.548999999999893"/>
    <s v="null"/>
    <s v="Unlimited"/>
  </r>
  <r>
    <s v="CPA - milf - Video-IS Xvideos - Windows 10 - CA"/>
    <x v="13"/>
    <s v="a99. Archived"/>
    <s v="Paused"/>
    <n v="7790276"/>
    <s v="Video (Video)"/>
    <n v="0"/>
    <n v="398"/>
    <n v="1"/>
    <n v="178.77199999999999"/>
    <n v="0.22262994204909001"/>
    <n v="0.449175879396985"/>
    <n v="1"/>
    <n v="178.77199999999999"/>
    <s v="null"/>
    <s v="Unlimited"/>
  </r>
  <r>
    <s v="CPA - milf - Video-IS Xvideos - Android Generic - UK"/>
    <x v="13"/>
    <s v="1d. Oceangate"/>
    <s v="Running"/>
    <n v="7790258"/>
    <s v="Video (Video)"/>
    <n v="0"/>
    <n v="281"/>
    <n v="0.999999999999999"/>
    <n v="59.688999999999901"/>
    <n v="0.47077350935683199"/>
    <n v="0.21241637010676101"/>
    <n v="1"/>
    <n v="59.688999999999901"/>
    <s v="null"/>
    <s v="Unlimited"/>
  </r>
  <r>
    <s v="CPA - milf - Video-IS Xvideos - iOS - UK"/>
    <x v="13"/>
    <s v="1d. Oceangate"/>
    <s v="Running"/>
    <n v="7790250"/>
    <s v="Video (Video)"/>
    <n v="0"/>
    <n v="269"/>
    <n v="1"/>
    <n v="84.957999999999998"/>
    <n v="0.31662703924292002"/>
    <n v="0.31582899628252697"/>
    <n v="1"/>
    <n v="84.957999999999998"/>
    <s v="null"/>
    <s v="Unlimited"/>
  </r>
  <r>
    <s v="CPA - bbc - Video-IS Xvideos - Android Other - Other Countries"/>
    <x v="14"/>
    <s v="a99. Archived"/>
    <s v="Paused"/>
    <n v="7790248"/>
    <s v="Video (Video)"/>
    <n v="0"/>
    <n v="3140"/>
    <n v="0.54692524993500802"/>
    <n v="134.64424572999999"/>
    <n v="1.2754687550774999"/>
    <n v="4.2880333035031797E-2"/>
    <n v="1"/>
    <n v="134.64424572999999"/>
    <s v="null"/>
    <s v="Unlimited"/>
  </r>
  <r>
    <s v="CPA - bbc - Video-IS Xvideos - Windows 10 - Other Countries"/>
    <x v="14"/>
    <s v="a99. Archived"/>
    <s v="Paused"/>
    <n v="7790238"/>
    <s v="Video (Video)"/>
    <n v="0"/>
    <n v="1459"/>
    <n v="0.464034424832176"/>
    <n v="139.14953894000001"/>
    <n v="0.48654579166235901"/>
    <n v="9.5373227511994493E-2"/>
    <n v="1"/>
    <n v="139.14953894000001"/>
    <s v="null"/>
    <s v="Unlimited"/>
  </r>
  <r>
    <s v="CPA - bbc - Video-IS Xvideos - Android Generic - CA"/>
    <x v="14"/>
    <s v="a99. Archived"/>
    <s v="Paused"/>
    <n v="7790220"/>
    <s v="Video (Video)"/>
    <n v="0"/>
    <n v="666"/>
    <n v="1"/>
    <n v="123.45099999999999"/>
    <n v="0.53948530186065702"/>
    <n v="0.18536186186186099"/>
    <n v="1"/>
    <n v="123.45099999999999"/>
    <s v="null"/>
    <s v="Unlimited"/>
  </r>
  <r>
    <s v="CPA - bbc - Video-IS Xvideos - iOS - US"/>
    <x v="14"/>
    <s v="a99. Archived"/>
    <s v="Paused"/>
    <n v="7790200"/>
    <s v="Video (Video)"/>
    <n v="0"/>
    <n v="441"/>
    <n v="1"/>
    <n v="207.803"/>
    <n v="0.21222022781191799"/>
    <n v="0.471208616780045"/>
    <n v="1"/>
    <n v="207.803"/>
    <s v="null"/>
    <s v="Unlimited"/>
  </r>
  <r>
    <s v="CPA - bbc - Video-IS Xvideos - Android Generic - UK"/>
    <x v="14"/>
    <s v="1d. Oceangate"/>
    <s v="Running"/>
    <n v="7790194"/>
    <s v="Video (Video)"/>
    <n v="0"/>
    <n v="21"/>
    <n v="1"/>
    <n v="5.984"/>
    <n v="0.35093582887700497"/>
    <n v="0.28495238095238001"/>
    <n v="1"/>
    <n v="5.984"/>
    <s v="null"/>
    <s v="Unlimited"/>
  </r>
  <r>
    <s v="CPA - creampie - Video-IS Xvideos - iOS - Other Countries"/>
    <x v="15"/>
    <s v="a99. Archived"/>
    <s v="Paused"/>
    <n v="7790174"/>
    <s v="Video (Video)"/>
    <n v="0"/>
    <n v="358"/>
    <n v="0.77548907415177004"/>
    <n v="112.74913198"/>
    <n v="0.24623257285526601"/>
    <n v="0.31494170944133998"/>
    <n v="1"/>
    <n v="112.74913198"/>
    <s v="null"/>
    <s v="Unlimited"/>
  </r>
  <r>
    <s v="CPA - creampie - Video-IS Xvideos - iOS - CA"/>
    <x v="15"/>
    <s v="a99. Archived"/>
    <s v="Paused"/>
    <n v="7790150"/>
    <s v="Video (Video)"/>
    <n v="0"/>
    <n v="209"/>
    <n v="1"/>
    <n v="103.39100000000001"/>
    <n v="0.20214525442253101"/>
    <n v="0.49469377990430602"/>
    <n v="1"/>
    <n v="103.39100000000001"/>
    <s v="null"/>
    <s v="Unlimited"/>
  </r>
  <r>
    <s v="CPA - edging - Video-IS Xvideos - Android Generic - US"/>
    <x v="16"/>
    <s v="a99. Archived"/>
    <s v="Paused"/>
    <n v="7790078"/>
    <s v="Video (Video)"/>
    <n v="0"/>
    <n v="766"/>
    <n v="1.5661939567462899"/>
    <n v="236.23060068999999"/>
    <n v="0.50785316015938298"/>
    <n v="0.30839504006527402"/>
    <n v="1"/>
    <n v="236.23060068999999"/>
    <s v="null"/>
    <s v="Unlimited"/>
  </r>
  <r>
    <s v="CPA - stepsister - Video-IS Xvideos - Android Generic - CA"/>
    <x v="17"/>
    <s v="a99. Archived"/>
    <s v="Paused"/>
    <n v="7762924"/>
    <s v="Video (Video)"/>
    <n v="0"/>
    <n v="838"/>
    <n v="1"/>
    <n v="137.197"/>
    <n v="0.61080052770833104"/>
    <n v="0.16371957040572699"/>
    <n v="1"/>
    <n v="137.197"/>
    <s v="null"/>
    <s v="Unlimited"/>
  </r>
  <r>
    <s v="CPA - pov - Video-IS Xvideos - iOS - Other Countries"/>
    <x v="18"/>
    <s v="a99. Archived"/>
    <s v="Paused"/>
    <n v="7762876"/>
    <s v="Video (Video)"/>
    <n v="0"/>
    <n v="607"/>
    <n v="0.80320142640251002"/>
    <n v="118.50353525"/>
    <n v="0.41141664237930298"/>
    <n v="0.195228229406919"/>
    <n v="1"/>
    <n v="118.50353525"/>
    <s v="null"/>
    <s v="Unlimited"/>
  </r>
  <r>
    <s v="CPA - pov - Video-IS Xvideos - Windows 10 - AU"/>
    <x v="18"/>
    <s v="1d. Oceangate"/>
    <s v="Running"/>
    <n v="7762866"/>
    <s v="Video (Video)"/>
    <n v="0"/>
    <n v="96"/>
    <n v="1"/>
    <n v="44.47"/>
    <n v="0.215875871373959"/>
    <n v="0.46322916666666603"/>
    <n v="1"/>
    <n v="44.47"/>
    <s v="null"/>
    <s v="Unlimited"/>
  </r>
  <r>
    <s v="CPA - pov - Video-IS Xvideos - Android Generic - CA"/>
    <x v="18"/>
    <s v="a99. Archived"/>
    <s v="Paused"/>
    <n v="7762860"/>
    <s v="Video (Video)"/>
    <n v="0"/>
    <n v="1143"/>
    <n v="1"/>
    <n v="199.322"/>
    <n v="0.57344397507550504"/>
    <n v="0.17438495188101399"/>
    <n v="1"/>
    <n v="199.322"/>
    <s v="null"/>
    <s v="Unlimited"/>
  </r>
  <r>
    <s v="CPA - pov - Video-IS Xvideos - Windows 10 - US"/>
    <x v="18"/>
    <s v="1d. Oceangate"/>
    <s v="Running"/>
    <n v="7762840"/>
    <s v="Video (Video)"/>
    <n v="0"/>
    <n v="133"/>
    <n v="1"/>
    <n v="123.363999999999"/>
    <n v="0.107811030770727"/>
    <n v="0.92754887218045101"/>
    <n v="1"/>
    <n v="123.363999999999"/>
    <s v="null"/>
    <s v="Unlimited"/>
  </r>
  <r>
    <s v="CPA - threesome - Video-IS Xvideos - Android Other - Other Countries"/>
    <x v="19"/>
    <s v="a99. Archived"/>
    <s v="Paused"/>
    <n v="7762824"/>
    <s v="Video (Video)"/>
    <n v="0"/>
    <n v="4562"/>
    <n v="0.50421015633378496"/>
    <n v="176.77406396999999"/>
    <n v="1.30121279193145"/>
    <n v="3.87492468149934E-2"/>
    <n v="1"/>
    <n v="176.77406396999999"/>
    <s v="null"/>
    <s v="Unlimited"/>
  </r>
  <r>
    <s v="CPA - threesome - Video-IS Xvideos - iOS - Other Countries"/>
    <x v="19"/>
    <s v="a99. Archived"/>
    <s v="Paused"/>
    <n v="7762814"/>
    <s v="Video (Video)"/>
    <n v="0"/>
    <n v="449"/>
    <n v="0.76287647081116405"/>
    <n v="102.66181243"/>
    <n v="0.33365038789644202"/>
    <n v="0.228645461982182"/>
    <n v="1"/>
    <n v="102.66181243"/>
    <s v="null"/>
    <s v="Unlimited"/>
  </r>
  <r>
    <s v="CPA - threesome - Video-IS Xvideos - Android Generic - CA"/>
    <x v="19"/>
    <s v="a99. Archived"/>
    <s v="Paused"/>
    <n v="7762798"/>
    <s v="Video (Video)"/>
    <n v="0"/>
    <n v="1074"/>
    <n v="1"/>
    <n v="182.352"/>
    <n v="0.58897078178467999"/>
    <n v="0.16978770949720601"/>
    <n v="1"/>
    <n v="182.352"/>
    <s v="null"/>
    <s v="Unlimited"/>
  </r>
  <r>
    <s v="CPA - threesome - Video-IS Xvideos - iOS - CA"/>
    <x v="19"/>
    <s v="1d. Oceangate"/>
    <s v="Running"/>
    <n v="7762788"/>
    <s v="Video (Video)"/>
    <n v="0"/>
    <n v="192"/>
    <n v="1"/>
    <n v="86.343999999999994"/>
    <n v="0.222366348559251"/>
    <n v="0.44970833333333299"/>
    <n v="1"/>
    <n v="86.343999999999994"/>
    <s v="null"/>
    <s v="Unlimited"/>
  </r>
  <r>
    <s v="CPA - threesome - Video-IS Xvideos - Android Generic - US"/>
    <x v="19"/>
    <s v="a99. Archived"/>
    <s v="Paused"/>
    <n v="7762784"/>
    <s v="Video (Video)"/>
    <n v="0"/>
    <n v="1383"/>
    <n v="1"/>
    <n v="198.11500000000001"/>
    <n v="0.69807939832925303"/>
    <n v="0.14325018076644899"/>
    <n v="1"/>
    <n v="198.11500000000001"/>
    <s v="null"/>
    <s v="Unlimited"/>
  </r>
  <r>
    <s v="CPA - threesome - Video-IS Xvideos - MacOS - US"/>
    <x v="19"/>
    <s v="1d. Oceangate"/>
    <s v="Running"/>
    <n v="7762780"/>
    <s v="Video (Video)"/>
    <n v="0"/>
    <n v="67"/>
    <n v="1"/>
    <n v="36.701999999999998"/>
    <n v="0.18255135959893101"/>
    <n v="0.54779104477611895"/>
    <n v="1"/>
    <n v="36.701999999999998"/>
    <s v="null"/>
    <s v="Unlimited"/>
  </r>
  <r>
    <s v="CPA - Category: Latina - Video-IS Xvideos - MacOS - Other Countries"/>
    <x v="20"/>
    <s v="1d. Oceangate"/>
    <s v="Running"/>
    <n v="7762316"/>
    <s v="Video (Video)"/>
    <n v="0"/>
    <n v="972"/>
    <n v="0.43664324323699599"/>
    <n v="132.24220929000001"/>
    <n v="0.32093930879182198"/>
    <n v="0.136051655648148"/>
    <n v="1"/>
    <n v="132.24220929000001"/>
    <s v="null"/>
    <s v="Unlimited"/>
  </r>
  <r>
    <s v="CPA - Category: Latina - Video-IS Xvideos - Windows 10 - CA"/>
    <x v="20"/>
    <s v="1d. Oceangate"/>
    <s v="Running"/>
    <n v="7762290"/>
    <s v="Video (Video)"/>
    <n v="0"/>
    <n v="150"/>
    <n v="1"/>
    <n v="81.834000000000003"/>
    <n v="0.18329789574015601"/>
    <n v="0.54556000000000004"/>
    <n v="1"/>
    <n v="81.834000000000003"/>
    <s v="null"/>
    <s v="Unlimited"/>
  </r>
  <r>
    <s v="CPA - Category: Latina - Video-IS Xvideos - Android Generic - US"/>
    <x v="20"/>
    <s v="a99. Archived"/>
    <s v="Paused"/>
    <n v="7762284"/>
    <s v="Video (Video)"/>
    <n v="0"/>
    <n v="1862"/>
    <n v="0.99995249180483603"/>
    <n v="294.67200000000003"/>
    <n v="0.63185899567675397"/>
    <n v="0.15825563909774401"/>
    <n v="1"/>
    <n v="294.67200000000003"/>
    <s v="null"/>
    <s v="Unlimited"/>
  </r>
  <r>
    <s v="CPA - Category: Latina - Video-IS Xvideos - Windows 10 - US"/>
    <x v="20"/>
    <s v="a99. Archived"/>
    <s v="Paused"/>
    <n v="7762278"/>
    <s v="Video (Video)"/>
    <n v="0"/>
    <n v="131"/>
    <n v="1"/>
    <n v="105.72199999999999"/>
    <n v="0.123909876846824"/>
    <n v="0.80703816793893102"/>
    <n v="1"/>
    <n v="105.72199999999999"/>
    <s v="null"/>
    <s v="Unlimited"/>
  </r>
  <r>
    <s v="CPA - Gay - Video-IS Xvideos - Mobile - NZ"/>
    <x v="103"/>
    <s v="a99. Archived"/>
    <s v="Paused"/>
    <n v="7754988"/>
    <s v="Video (Video)"/>
    <n v="0"/>
    <n v="6472"/>
    <n v="0.62957788810697701"/>
    <n v="172.12911292000001"/>
    <n v="2.3671928720867199"/>
    <n v="2.6595969239802199E-2"/>
    <n v="1"/>
    <n v="172.12911292000001"/>
    <s v="null"/>
    <s v="Unlimited"/>
  </r>
  <r>
    <s v="CPA - witch - Video-IS Xvideos - iOS - USA"/>
    <x v="104"/>
    <s v="a99. Archived"/>
    <s v="Paused"/>
    <n v="7729248"/>
    <s v="Video (Video)"/>
    <n v="0"/>
    <n v="166"/>
    <n v="1.69295949236001"/>
    <n v="100.04882712"/>
    <n v="0.28089412322114399"/>
    <n v="0.602703777831325"/>
    <n v="1"/>
    <n v="100.04882712"/>
    <s v="null"/>
    <n v="50"/>
  </r>
  <r>
    <s v="CPA - toilet - Video-IS Xvideos - iOS - USA"/>
    <x v="105"/>
    <s v="a99. Archived"/>
    <s v="Paused"/>
    <n v="7729116"/>
    <s v="Video (Video)"/>
    <n v="0"/>
    <n v="192"/>
    <n v="1.7576483167986501"/>
    <n v="100.09982929"/>
    <n v="0.33713192042281898"/>
    <n v="0.52135327755208305"/>
    <n v="1"/>
    <n v="100.09982929"/>
    <s v="null"/>
    <n v="200"/>
  </r>
  <r>
    <s v="CPA - clown - Video-IS Xvideos - iOS - USA"/>
    <x v="106"/>
    <s v="a99. Archived"/>
    <s v="Paused"/>
    <n v="7728944"/>
    <s v="Video (Video)"/>
    <n v="0"/>
    <n v="141"/>
    <n v="1.63244727158478"/>
    <n v="100.02004433"/>
    <n v="0.23012893748979901"/>
    <n v="0.709362016524822"/>
    <n v="1"/>
    <n v="100.02004433"/>
    <s v="null"/>
    <n v="50"/>
  </r>
  <r>
    <s v="CPA - triple - Video-IS Xvideos - iOS - USA"/>
    <x v="107"/>
    <s v="a99. Archived"/>
    <s v="Paused"/>
    <n v="7728712"/>
    <s v="Video (Video)"/>
    <n v="0"/>
    <n v="204"/>
    <n v="1.7618704373855401"/>
    <n v="100.06014587999999"/>
    <n v="0.35920552190449301"/>
    <n v="0.49049091117646998"/>
    <n v="1"/>
    <n v="100.06014587999999"/>
    <s v="null"/>
    <n v="200"/>
  </r>
  <r>
    <s v="CPA - belly - Video-IS Xvideos - iOS - USA"/>
    <x v="108"/>
    <s v="a99. Archived"/>
    <s v="Paused"/>
    <n v="7728610"/>
    <s v="Video (Video)"/>
    <n v="0"/>
    <n v="428"/>
    <n v="0.999999999999999"/>
    <n v="144.10299999999901"/>
    <n v="0.29700977772843001"/>
    <n v="0.33668925233644798"/>
    <n v="1"/>
    <n v="144.10299999999901"/>
    <s v="null"/>
    <s v="Unlimited"/>
  </r>
  <r>
    <s v="CPA - femdom - Video-IS Xvideos - iOS - USA"/>
    <x v="109"/>
    <s v="1c. Scaling"/>
    <s v="Running"/>
    <n v="7728432"/>
    <s v="Video (Video)"/>
    <n v="0"/>
    <n v="37"/>
    <n v="1"/>
    <n v="12.795"/>
    <n v="0.28917545916373499"/>
    <n v="0.34581081081081"/>
    <n v="1"/>
    <n v="12.795"/>
    <s v="null"/>
    <s v="Unlimited"/>
  </r>
  <r>
    <s v="CPA - milking - Video-IS Xvideos - iOS - USA"/>
    <x v="110"/>
    <s v="a99. Archived"/>
    <s v="Paused"/>
    <n v="7728346"/>
    <s v="Video (Video)"/>
    <n v="0"/>
    <n v="168"/>
    <n v="1.63825984562242"/>
    <n v="100.07146441"/>
    <n v="0.27503110470827002"/>
    <n v="0.59566347863095204"/>
    <n v="1"/>
    <n v="100.07146441"/>
    <s v="null"/>
    <n v="200"/>
  </r>
  <r>
    <s v="CPA - master - Video-IS Xvideos - iOS - USA"/>
    <x v="111"/>
    <s v="a99. Archived"/>
    <s v="Paused"/>
    <n v="7728180"/>
    <s v="Video (Video)"/>
    <n v="0"/>
    <n v="194"/>
    <n v="1.67125173073069"/>
    <n v="100.08792364999999"/>
    <n v="0.32393801763291402"/>
    <n v="0.51591713221649405"/>
    <n v="1"/>
    <n v="100.08792364999999"/>
    <s v="null"/>
    <n v="200"/>
  </r>
  <r>
    <s v="CPA - rope - Video-IS Xvideos - iOS - USA"/>
    <x v="112"/>
    <s v="a99. Archived"/>
    <s v="Paused"/>
    <n v="7728140"/>
    <s v="Video (Video)"/>
    <n v="0"/>
    <n v="169"/>
    <n v="1.7186972821793101"/>
    <n v="100.504260969999"/>
    <n v="0.28900251380884701"/>
    <n v="0.59469976905325395"/>
    <n v="1"/>
    <n v="100.504260969999"/>
    <s v="null"/>
    <n v="200"/>
  </r>
  <r>
    <s v="CPA - machine - Video-IS Xvideos - iOS - USA"/>
    <x v="113"/>
    <s v="a99. Archived"/>
    <s v="Paused"/>
    <n v="7728034"/>
    <s v="Video (Video)"/>
    <n v="0"/>
    <n v="273"/>
    <n v="1.69213130364208"/>
    <n v="100.07602955999999"/>
    <n v="0.46160089276656102"/>
    <n v="0.36657886285714197"/>
    <n v="1"/>
    <n v="100.07602955999999"/>
    <s v="null"/>
    <n v="200"/>
  </r>
  <r>
    <s v="CPA - latex - Video-IS Xvideos - iOS - USA"/>
    <x v="114"/>
    <s v="1c. Scaling"/>
    <s v="Running"/>
    <n v="7727774"/>
    <s v="Video (Video)"/>
    <n v="0"/>
    <n v="74"/>
    <n v="1.52915062345204"/>
    <n v="35.809649299999997"/>
    <n v="0.31599624220684902"/>
    <n v="0.483914179729729"/>
    <n v="1"/>
    <n v="35.809649299999997"/>
    <s v="null"/>
    <s v="Unlimited"/>
  </r>
  <r>
    <s v="CPA - spanish - Video-IS Xvideos - iOS - USA"/>
    <x v="115"/>
    <s v="a99. Archived"/>
    <s v="Paused"/>
    <n v="7727734"/>
    <s v="Video (Video)"/>
    <n v="0"/>
    <n v="261"/>
    <n v="1"/>
    <n v="100.054"/>
    <n v="0.260859136066524"/>
    <n v="0.38334865900383103"/>
    <n v="1"/>
    <n v="100.054"/>
    <s v="null"/>
    <n v="200"/>
  </r>
  <r>
    <s v="CPA - office - Video-IS Xvideos - iOS - USA"/>
    <x v="116"/>
    <s v="a99. Archived"/>
    <s v="Paused"/>
    <n v="7727544"/>
    <s v="Video (Video)"/>
    <n v="0"/>
    <n v="166"/>
    <n v="1"/>
    <n v="88.352000000000004"/>
    <n v="0.18788482433900699"/>
    <n v="0.53224096385542097"/>
    <n v="1"/>
    <n v="88.352000000000004"/>
    <s v="null"/>
    <n v="200"/>
  </r>
  <r>
    <s v="CPA - club - Video-IS Xvideos - iOS - USA"/>
    <x v="117"/>
    <s v="a99. Archived"/>
    <s v="Paused"/>
    <n v="7727434"/>
    <s v="Video (Video)"/>
    <n v="0"/>
    <n v="272"/>
    <n v="1"/>
    <n v="100.03100000000001"/>
    <n v="0.271915706131099"/>
    <n v="0.36776102941176397"/>
    <n v="1"/>
    <n v="100.03100000000001"/>
    <s v="null"/>
    <n v="50"/>
  </r>
  <r>
    <s v="CPA - maid - Video-IS Xvideos - iOS - USA"/>
    <x v="118"/>
    <s v="1b. Launch"/>
    <s v="Running"/>
    <n v="7727388"/>
    <s v="Video (Video)"/>
    <n v="0"/>
    <n v="39"/>
    <n v="1"/>
    <n v="9.9120000000000008"/>
    <n v="0.39346246973365601"/>
    <n v="0.25415384615384601"/>
    <n v="1"/>
    <n v="9.9120000000000008"/>
    <s v="null"/>
    <n v="50"/>
  </r>
  <r>
    <s v="CPA - ahegao - Video-IS Xvideos - iOS - USA"/>
    <x v="119"/>
    <s v="1b. Launch"/>
    <s v="Running"/>
    <n v="7727344"/>
    <s v="Video (Video)"/>
    <n v="0"/>
    <n v="46"/>
    <n v="1.53857838262018"/>
    <n v="18.626029899999999"/>
    <n v="0.37997687097307098"/>
    <n v="0.40491369347826001"/>
    <n v="1"/>
    <n v="18.626029899999999"/>
    <s v="null"/>
    <n v="200"/>
  </r>
  <r>
    <s v="CPA - stripper - Video-IS Xvideos - iOS - USA"/>
    <x v="120"/>
    <s v="1c. Scaling"/>
    <s v="Running"/>
    <n v="7727304"/>
    <s v="Video (Video)"/>
    <n v="0"/>
    <n v="21"/>
    <n v="1"/>
    <n v="7.3819999999999997"/>
    <n v="0.28447575182877199"/>
    <n v="0.35152380952380902"/>
    <n v="1"/>
    <n v="7.3819999999999997"/>
    <s v="null"/>
    <s v="Unlimited"/>
  </r>
  <r>
    <s v="CPA - mature - Video-IS Xvideos - iOS - USA"/>
    <x v="121"/>
    <s v="a99. Archived"/>
    <s v="Paused"/>
    <n v="7726956"/>
    <s v="Video (Video)"/>
    <n v="0"/>
    <n v="197"/>
    <n v="0.999999999999999"/>
    <n v="100.003999999999"/>
    <n v="0.19699212031518701"/>
    <n v="0.50763451776649704"/>
    <n v="1"/>
    <n v="100.003999999999"/>
    <s v="null"/>
    <n v="50"/>
  </r>
  <r>
    <s v="CPA - wife - Video-IS Xvideos - iOS - USA"/>
    <x v="122"/>
    <s v="a99. Archived"/>
    <s v="Paused"/>
    <n v="7726710"/>
    <s v="Video (Video)"/>
    <n v="0"/>
    <n v="406"/>
    <n v="1"/>
    <n v="179.554"/>
    <n v="0.22611582031032401"/>
    <n v="0.442251231527093"/>
    <n v="1"/>
    <n v="179.554"/>
    <s v="null"/>
    <s v="Unlimited"/>
  </r>
  <r>
    <s v="CPA - trans - Video-IS Xvideos - iOS - USA"/>
    <x v="123"/>
    <s v="a99. Archived"/>
    <s v="Paused"/>
    <n v="7726648"/>
    <s v="Video (Video)"/>
    <n v="0"/>
    <n v="318"/>
    <n v="1"/>
    <n v="100.10299999999999"/>
    <n v="0.31767279701906997"/>
    <n v="0.31478930817610001"/>
    <n v="1"/>
    <n v="100.10299999999999"/>
    <s v="null"/>
    <n v="50"/>
  </r>
  <r>
    <s v="CPA - ebony - Video-IS Xvideos - iOS - USA"/>
    <x v="124"/>
    <s v="a99. Archived"/>
    <s v="Paused"/>
    <n v="7726602"/>
    <s v="Video (Video)"/>
    <n v="0"/>
    <n v="496"/>
    <n v="1"/>
    <n v="226.51599999999999"/>
    <n v="0.21896907944692601"/>
    <n v="0.45668548387096702"/>
    <n v="1"/>
    <n v="226.51599999999999"/>
    <s v="null"/>
    <s v="Unlimited"/>
  </r>
  <r>
    <s v="CPA - stepmom - Video-IS Xvideos - iOS - USA"/>
    <x v="125"/>
    <s v="a99. Archived"/>
    <s v="Paused"/>
    <n v="7726470"/>
    <s v="Video (Video)"/>
    <n v="0"/>
    <n v="309"/>
    <n v="1"/>
    <n v="100.021"/>
    <n v="0.30893512362403802"/>
    <n v="0.32369255663430402"/>
    <n v="1"/>
    <n v="100.021"/>
    <s v="null"/>
    <n v="50"/>
  </r>
  <r>
    <s v="CPA - Category: Transexual/Shemale - Video-IS Xvideos - Windows 10 - USA"/>
    <x v="126"/>
    <s v="1c. Scaling - Trans"/>
    <s v="Running"/>
    <n v="7720222"/>
    <s v="Video (Video)"/>
    <n v="0"/>
    <n v="36"/>
    <n v="1"/>
    <n v="19.933"/>
    <n v="0.180605026839913"/>
    <n v="0.55369444444444404"/>
    <n v="1"/>
    <n v="19.933"/>
    <s v="null"/>
    <n v="200"/>
  </r>
  <r>
    <s v="CPA - JOI - Video-IS Xvideos - iOS - USA"/>
    <x v="127"/>
    <s v="a99. Archived"/>
    <s v="Paused"/>
    <n v="7718226"/>
    <s v="Video (Video)"/>
    <n v="0"/>
    <n v="573"/>
    <n v="1"/>
    <n v="145.34100000000001"/>
    <n v="0.39424525770429503"/>
    <n v="0.25364921465968499"/>
    <n v="1"/>
    <n v="145.34100000000001"/>
    <s v="null"/>
    <n v="200"/>
  </r>
  <r>
    <s v="CPA - Cowgirl - Video-IS Xvideos - iOS - USA"/>
    <x v="128"/>
    <s v="a99. Archived"/>
    <s v="Paused"/>
    <n v="7718132"/>
    <s v="Video (Video)"/>
    <n v="0"/>
    <n v="547"/>
    <n v="1"/>
    <n v="200.798"/>
    <n v="0.27241307184334501"/>
    <n v="0.36708957952468002"/>
    <n v="1"/>
    <n v="200.798"/>
    <s v="null"/>
    <n v="200"/>
  </r>
  <r>
    <s v="CPA - Category: Transexual/Shemale - Video-IS Xvideos - iOS - USA"/>
    <x v="126"/>
    <s v="1c. Scaling - Trans"/>
    <s v="Running"/>
    <n v="7718090"/>
    <s v="Video (Video)"/>
    <n v="0"/>
    <n v="26"/>
    <n v="1"/>
    <n v="8.2430000000000003"/>
    <n v="0.31541914351570999"/>
    <n v="0.31703846153846099"/>
    <n v="1"/>
    <n v="8.2430000000000003"/>
    <s v="null"/>
    <n v="200"/>
  </r>
  <r>
    <s v="CPA - Category: Teens (18+) - Video-IS Xvideos - iOS - USA"/>
    <x v="129"/>
    <s v="a99. Archived"/>
    <s v="Paused"/>
    <n v="7718078"/>
    <s v="Video (Video)"/>
    <n v="0"/>
    <n v="834"/>
    <n v="1"/>
    <n v="294.029"/>
    <n v="0.283645490750912"/>
    <n v="0.35255275779376499"/>
    <n v="1"/>
    <n v="294.029"/>
    <s v="null"/>
    <s v="Unlimited"/>
  </r>
  <r>
    <s v="CPA - Category: Cartoons/Hentai - Video-IS Xvideos - Android Generic - MEX"/>
    <x v="101"/>
    <s v="1e. Ocean"/>
    <s v="Running"/>
    <n v="7717892"/>
    <s v="Video (Video)"/>
    <n v="0"/>
    <n v="212"/>
    <n v="0.289009031260337"/>
    <n v="17.47348603"/>
    <n v="0.35064505458154099"/>
    <n v="8.2422103915094302E-2"/>
    <n v="1"/>
    <n v="17.47348603"/>
    <s v="null"/>
    <n v="200"/>
  </r>
  <r>
    <s v="CPA - Category: Cartoons/Hentai - Video-IS Xvideos - Windows 10 - USA"/>
    <x v="101"/>
    <s v="1e. Ocean"/>
    <s v="Running"/>
    <n v="7717822"/>
    <s v="Video (Video)"/>
    <n v="0"/>
    <n v="152"/>
    <n v="1.16024214061645"/>
    <n v="120.94480098"/>
    <n v="0.145815945741119"/>
    <n v="0.79568948013157803"/>
    <n v="1"/>
    <n v="120.94480098"/>
    <s v="null"/>
    <n v="200"/>
  </r>
  <r>
    <s v="CPA - Category: Cartoons/Hentai - Video-IS Xvideos - iOS - NLD"/>
    <x v="101"/>
    <s v="a99. Archived"/>
    <s v="Paused"/>
    <n v="7717814"/>
    <s v="Video (Video)"/>
    <n v="0"/>
    <n v="655"/>
    <n v="1.0776684228520099"/>
    <n v="173.05307300999999"/>
    <n v="0.40789383550980501"/>
    <n v="0.26420316490076301"/>
    <n v="1"/>
    <n v="173.05307300999999"/>
    <s v="null"/>
    <n v="200"/>
  </r>
  <r>
    <s v="CPA - squirt - Video-IS Xvideos - iOS - US"/>
    <x v="3"/>
    <s v="a99. Archived"/>
    <s v="Paused"/>
    <n v="7791392"/>
    <s v="Video (Video)"/>
    <n v="0"/>
    <n v="805"/>
    <n v="1"/>
    <n v="315.24900000000002"/>
    <n v="0.25535370453197298"/>
    <n v="0.391613664596273"/>
    <n v="2"/>
    <n v="157.62450000000001"/>
    <s v="null"/>
    <s v="Unlimited"/>
  </r>
  <r>
    <s v="CPA - Category: Asian - Video-IS Xvideos - iOS - Other Countries"/>
    <x v="5"/>
    <s v="a99. Archived"/>
    <s v="Paused"/>
    <n v="7791236"/>
    <s v="Video (Video)"/>
    <n v="0"/>
    <n v="1797"/>
    <n v="0.532736914433109"/>
    <n v="381.88233510999999"/>
    <n v="0.25068670300251999"/>
    <n v="0.212511037902058"/>
    <n v="2"/>
    <n v="190.94116755499999"/>
    <s v="null"/>
    <s v="Unlimited"/>
  </r>
  <r>
    <s v="CPA - Handjob - Video-IS Xvideos - iOS - CA"/>
    <x v="10"/>
    <s v="1d. Oceangate"/>
    <s v="Running"/>
    <n v="7790634"/>
    <s v="Video (Video)"/>
    <n v="0"/>
    <n v="142"/>
    <n v="1"/>
    <n v="64.709000000000003"/>
    <n v="0.219443972244973"/>
    <n v="0.45569718309859097"/>
    <n v="2"/>
    <n v="32.354500000000002"/>
    <s v="null"/>
    <s v="Unlimited"/>
  </r>
  <r>
    <s v="CPA - roleplay - Video-IS Xvideos - Android Generic - CA"/>
    <x v="11"/>
    <s v="1d. Oceangate"/>
    <s v="Running"/>
    <n v="7790512"/>
    <s v="Video (Video)"/>
    <n v="0"/>
    <n v="752"/>
    <n v="1"/>
    <n v="204.108"/>
    <n v="0.36843239853410897"/>
    <n v="0.27142021276595701"/>
    <n v="2"/>
    <n v="102.054"/>
    <s v="null"/>
    <s v="Unlimited"/>
  </r>
  <r>
    <s v="CPA - bbc - Video-IS Xvideos - iOS - Other Countries"/>
    <x v="14"/>
    <s v="a99. Archived"/>
    <s v="Paused"/>
    <n v="7790236"/>
    <s v="Video (Video)"/>
    <n v="0"/>
    <n v="1521"/>
    <n v="0.56398824800438496"/>
    <n v="329.24505942000002"/>
    <n v="0.26054335537359902"/>
    <n v="0.216466179763313"/>
    <n v="2"/>
    <n v="164.62252971000001"/>
    <s v="null"/>
    <s v="Unlimited"/>
  </r>
  <r>
    <s v="CPA - bbc - Video-IS Xvideos - iOS - CA"/>
    <x v="14"/>
    <s v="1d. Oceangate"/>
    <s v="Running"/>
    <n v="7790212"/>
    <s v="Video (Video)"/>
    <n v="0"/>
    <n v="188"/>
    <n v="1"/>
    <n v="108.545"/>
    <n v="0.173200055276613"/>
    <n v="0.577367021276595"/>
    <n v="2"/>
    <n v="54.272500000000001"/>
    <s v="null"/>
    <s v="Unlimited"/>
  </r>
  <r>
    <s v="CPA - creampie - Video-IS Xvideos - Android Generic - Other Countries"/>
    <x v="15"/>
    <s v="a99. Archived"/>
    <s v="Paused"/>
    <n v="7790182"/>
    <s v="Video (Video)"/>
    <n v="0"/>
    <n v="7630"/>
    <n v="0.68100638114338197"/>
    <n v="736.18219914999997"/>
    <n v="0.70581422562558904"/>
    <n v="9.6485216140235905E-2"/>
    <n v="2"/>
    <n v="368.09109957499999"/>
    <s v="null"/>
    <s v="Unlimited"/>
  </r>
  <r>
    <s v="CPA - creampie - Video-IS Xvideos - MacOS - Other Countries"/>
    <x v="15"/>
    <s v="1d. Oceangate"/>
    <s v="Running"/>
    <n v="7790178"/>
    <s v="Video (Video)"/>
    <n v="0"/>
    <n v="962"/>
    <n v="0.45516612015484698"/>
    <n v="101.46972799999899"/>
    <n v="0.43152752670132599"/>
    <n v="0.105477887733887"/>
    <n v="2"/>
    <n v="50.734863999999902"/>
    <s v="null"/>
    <s v="Unlimited"/>
  </r>
  <r>
    <s v="CPA - creampie - Video-IS Xvideos - Android Generic - US"/>
    <x v="15"/>
    <s v="a99. Archived"/>
    <s v="Paused"/>
    <n v="7790144"/>
    <s v="Video (Video)"/>
    <n v="0"/>
    <n v="1607"/>
    <n v="1"/>
    <n v="264.21699999999998"/>
    <n v="0.60821218922325204"/>
    <n v="0.164416303671437"/>
    <n v="2"/>
    <n v="132.10849999999999"/>
    <s v="null"/>
    <s v="Unlimited"/>
  </r>
  <r>
    <s v="CPA - creampie - Video-IS Xvideos - MacOS - US"/>
    <x v="15"/>
    <s v="1d. Oceangate"/>
    <s v="Running"/>
    <n v="7790138"/>
    <s v="Video (Video)"/>
    <n v="0"/>
    <n v="175"/>
    <n v="1"/>
    <n v="79.876000000000005"/>
    <n v="0.21908958886273699"/>
    <n v="0.45643428571428502"/>
    <n v="2"/>
    <n v="39.938000000000002"/>
    <s v="null"/>
    <s v="Unlimited"/>
  </r>
  <r>
    <s v="CPA - edging - Video-IS Xvideos - iOS - US"/>
    <x v="16"/>
    <s v="a99. Archived"/>
    <s v="Paused"/>
    <n v="7790070"/>
    <s v="Video (Video)"/>
    <n v="0"/>
    <n v="432"/>
    <n v="1.79634376916662"/>
    <n v="183.11030210999999"/>
    <n v="0.42379948006082302"/>
    <n v="0.42386644006944402"/>
    <n v="2"/>
    <n v="91.555151054999996"/>
    <s v="null"/>
    <s v="Unlimited"/>
  </r>
  <r>
    <s v="CPA - stepsister - Video-IS Xvideos - Android Generic - US"/>
    <x v="17"/>
    <s v="a99. Archived"/>
    <s v="Paused"/>
    <n v="7762910"/>
    <s v="Video (Video)"/>
    <n v="0"/>
    <n v="2883"/>
    <n v="1"/>
    <n v="472.221"/>
    <n v="0.61051922722623497"/>
    <n v="0.16379500520291301"/>
    <n v="2"/>
    <n v="236.1105"/>
    <s v="null"/>
    <s v="Unlimited"/>
  </r>
  <r>
    <s v="CPA - pov - Video-IS Xvideos - MacOS - US"/>
    <x v="18"/>
    <s v="1d. Oceangate"/>
    <s v="Running"/>
    <n v="7762842"/>
    <s v="Video (Video)"/>
    <n v="0"/>
    <n v="178"/>
    <n v="1"/>
    <n v="57.018999999999998"/>
    <n v="0.312176642873428"/>
    <n v="0.32033146067415702"/>
    <n v="2"/>
    <n v="28.509499999999999"/>
    <s v="null"/>
    <s v="Unlimited"/>
  </r>
  <r>
    <s v="CPA - threesome - Video-IS Xvideos - Windows 10 - Other Countries"/>
    <x v="19"/>
    <s v="a99. Archived"/>
    <s v="Paused"/>
    <n v="7762816"/>
    <s v="Video (Video)"/>
    <n v="0"/>
    <n v="1658"/>
    <n v="0.415903285270668"/>
    <n v="144.9148453"/>
    <n v="0.47584334479413598"/>
    <n v="8.7403404885404101E-2"/>
    <n v="2"/>
    <n v="72.457422649999998"/>
    <s v="null"/>
    <s v="Unlimited"/>
  </r>
  <r>
    <s v="CPA - Category: Latina - Video-IS Xvideos - Android Generic - CA"/>
    <x v="20"/>
    <s v="a99. Archived"/>
    <s v="Paused"/>
    <n v="7762296"/>
    <s v="Video (Video)"/>
    <n v="0"/>
    <n v="1056"/>
    <n v="1"/>
    <n v="173.42099999999999"/>
    <n v="0.60892279481723599"/>
    <n v="0.164224431818181"/>
    <n v="2"/>
    <n v="86.710499999999996"/>
    <s v="null"/>
    <s v="Unlimited"/>
  </r>
  <r>
    <s v="CPA - Category: Latina - Video-IS Xvideos - iOS - US"/>
    <x v="20"/>
    <s v="a99. Archived"/>
    <s v="Paused"/>
    <n v="7762276"/>
    <s v="Video (Video)"/>
    <n v="0"/>
    <n v="522"/>
    <n v="1"/>
    <n v="208.834"/>
    <n v="0.24995929781548901"/>
    <n v="0.40006513409961603"/>
    <n v="2"/>
    <n v="104.417"/>
    <s v="null"/>
    <s v="Unlimited"/>
  </r>
  <r>
    <s v="CPA - Gay - Video-IS Xvideos - Mobile - Desktop - NZ"/>
    <x v="103"/>
    <s v="1c. Scaling - Gay"/>
    <s v="Running"/>
    <n v="7757666"/>
    <s v="Video (Video)"/>
    <n v="0"/>
    <n v="2837"/>
    <n v="0.53443647595453603"/>
    <n v="164.38410901999899"/>
    <n v="0.92234966708281296"/>
    <n v="5.7942935854776098E-2"/>
    <n v="2"/>
    <n v="82.192054509999906"/>
    <s v="null"/>
    <s v="Unlimited"/>
  </r>
  <r>
    <s v="CPA - Gay - Video-IS Xvideos - Mobile - Desktop - UK"/>
    <x v="103"/>
    <s v="a99. Archived"/>
    <s v="Paused"/>
    <n v="7757664"/>
    <s v="Video (Video)"/>
    <n v="0"/>
    <n v="6806"/>
    <n v="0.61563157300540094"/>
    <n v="183.27598180999999"/>
    <n v="2.2861634375083901"/>
    <n v="2.6928589745812501E-2"/>
    <n v="2"/>
    <n v="91.637990904999995"/>
    <s v="null"/>
    <s v="Unlimited"/>
  </r>
  <r>
    <s v="CPA - Gay - Video-IS Xvideos - Mobile - Desktop - Aus"/>
    <x v="103"/>
    <s v="a99. Archived"/>
    <s v="Paused"/>
    <n v="7757660"/>
    <s v="Video (Video)"/>
    <n v="0"/>
    <n v="3158"/>
    <n v="0.86286286591273098"/>
    <n v="177.24152415"/>
    <n v="1.5374054943503499"/>
    <n v="5.6124611827105701E-2"/>
    <n v="2"/>
    <n v="88.620762075000002"/>
    <s v="null"/>
    <s v="Unlimited"/>
  </r>
  <r>
    <s v="CPA - monster - Video-IS Xvideos - iOS - USA"/>
    <x v="130"/>
    <s v="a99. Archived"/>
    <s v="Paused"/>
    <n v="7729206"/>
    <s v="Video (Video)"/>
    <n v="0"/>
    <n v="269"/>
    <n v="1"/>
    <n v="123.149"/>
    <n v="0.218434579249526"/>
    <n v="0.45780297397769498"/>
    <n v="2"/>
    <n v="61.5745"/>
    <s v="null"/>
    <s v="Unlimited"/>
  </r>
  <r>
    <s v="CPA - fisting - Video-IS Xvideos - iOS - USA"/>
    <x v="131"/>
    <s v="1c. Scaling"/>
    <s v="Running"/>
    <n v="7727904"/>
    <s v="Video (Video)"/>
    <n v="0"/>
    <n v="239"/>
    <n v="1"/>
    <n v="109.378999999999"/>
    <n v="0.21850629462693899"/>
    <n v="0.45765271966527099"/>
    <n v="2"/>
    <n v="54.689499999999903"/>
    <s v="null"/>
    <s v="Unlimited"/>
  </r>
  <r>
    <s v="CPA - bbc - Video-IS Xvideos - iOS - USA"/>
    <x v="14"/>
    <s v="a99. Archived"/>
    <s v="Paused"/>
    <n v="7726690"/>
    <s v="Video (Video)"/>
    <n v="0"/>
    <n v="534"/>
    <n v="1"/>
    <n v="269.51499999999999"/>
    <n v="0.198133684581563"/>
    <n v="0.504709737827715"/>
    <n v="2"/>
    <n v="134.75749999999999"/>
    <s v="null"/>
    <s v="Unlimited"/>
  </r>
  <r>
    <s v="CPA - creampie - Video-IS Xvideos - iOS - USA"/>
    <x v="15"/>
    <s v="a99. Archived"/>
    <s v="Paused"/>
    <n v="7726492"/>
    <s v="Video (Video)"/>
    <n v="0"/>
    <n v="582"/>
    <n v="1"/>
    <n v="221.30099999999999"/>
    <n v="0.26299022598180699"/>
    <n v="0.38024226804123701"/>
    <n v="2"/>
    <n v="110.65049999999999"/>
    <s v="null"/>
    <s v="Unlimited"/>
  </r>
  <r>
    <s v="CPA - asian - Video-IS Xvideos - iOS - USA"/>
    <x v="132"/>
    <s v="a99. Archived"/>
    <s v="Paused"/>
    <n v="7726442"/>
    <s v="Video (Video)"/>
    <n v="0"/>
    <n v="510"/>
    <n v="1"/>
    <n v="190.79900000000001"/>
    <n v="0.26729699841194099"/>
    <n v="0.37411568627450897"/>
    <n v="2"/>
    <n v="95.399500000000003"/>
    <s v="null"/>
    <s v="Unlimited"/>
  </r>
  <r>
    <s v="CPA - Category: Voyeur - Video-IS Xvideos - iOS - USA"/>
    <x v="133"/>
    <s v="1c. Scaling"/>
    <s v="Running"/>
    <n v="7718102"/>
    <s v="Video (Video)"/>
    <n v="0"/>
    <n v="307"/>
    <n v="1"/>
    <n v="132.095"/>
    <n v="0.23240849388697499"/>
    <n v="0.430276872964169"/>
    <n v="2"/>
    <n v="66.047499999999999"/>
    <s v="null"/>
    <s v="Unlimited"/>
  </r>
  <r>
    <s v="CPA - Category: Ebony - Video-IS Xvideos - iOS - USA"/>
    <x v="134"/>
    <s v="a99. Archived"/>
    <s v="Paused"/>
    <n v="7718022"/>
    <s v="Video (Video)"/>
    <n v="0"/>
    <n v="425"/>
    <n v="1"/>
    <n v="171.482"/>
    <n v="0.24783942337971299"/>
    <n v="0.40348705882352898"/>
    <n v="2"/>
    <n v="85.741"/>
    <s v="null"/>
    <s v="Unlimited"/>
  </r>
  <r>
    <s v="CPA - Category: BDSM - Video-IS Xvideos - iOS - USA"/>
    <x v="135"/>
    <s v="1c. Scaling"/>
    <s v="Running"/>
    <n v="7718012"/>
    <s v="Video (Video)"/>
    <n v="0"/>
    <n v="346"/>
    <n v="1"/>
    <n v="163.41200000000001"/>
    <n v="0.21173475632144501"/>
    <n v="0.47228901734104001"/>
    <n v="2"/>
    <n v="81.706000000000003"/>
    <s v="null"/>
    <n v="200"/>
  </r>
  <r>
    <s v="CPA - Category: Cartoons/Hentai - Video-IS Xvideos - Android Generic - NLD"/>
    <x v="101"/>
    <s v="a99. Archived"/>
    <s v="Paused"/>
    <n v="7717886"/>
    <s v="Video (Video)"/>
    <n v="0"/>
    <n v="1165"/>
    <n v="1.2550925988569399"/>
    <n v="200.05799497999999"/>
    <n v="0.73087950212362796"/>
    <n v="0.171723600841201"/>
    <n v="2"/>
    <n v="100.02899748999999"/>
    <s v="null"/>
    <n v="200"/>
  </r>
  <r>
    <s v="CPA - Category: Cartoons/Hentai - Video-IS Xvideos - Android Generic - NOR"/>
    <x v="101"/>
    <s v="1e. Ocean"/>
    <s v="Running"/>
    <n v="7717884"/>
    <s v="Video (Video)"/>
    <n v="0"/>
    <n v="931"/>
    <n v="1.0359341212014099"/>
    <n v="134.92627554999899"/>
    <n v="0.71480122230241205"/>
    <n v="0.144926182116004"/>
    <n v="2"/>
    <n v="67.463137774999893"/>
    <s v="null"/>
    <n v="200"/>
  </r>
  <r>
    <s v="CPA - Category: Cartoons/Hentai - Video-IS Xvideos - iOS - JPN"/>
    <x v="101"/>
    <s v="1e. Ocean"/>
    <s v="Running"/>
    <n v="7717816"/>
    <s v="Video (Video)"/>
    <n v="0"/>
    <n v="355"/>
    <n v="0.52734564209127599"/>
    <n v="74.610443480000001"/>
    <n v="0.25091353731543697"/>
    <n v="0.21017026332394301"/>
    <n v="2"/>
    <n v="37.30522174"/>
    <s v="null"/>
    <n v="200"/>
  </r>
  <r>
    <s v="[Traffic Share - 85 %] - CPAreset - Xvideos Trans - Video - Mobile - UK"/>
    <x v="136"/>
    <s v="a99. Archived"/>
    <s v="Paused"/>
    <n v="7664862"/>
    <s v="Video (Video)"/>
    <n v="0"/>
    <n v="865"/>
    <n v="2.6869999999999998"/>
    <n v="342.66504900000001"/>
    <n v="0.67828773514628204"/>
    <n v="0.39614456531791897"/>
    <n v="2"/>
    <n v="171.33252450000001"/>
    <s v="null"/>
    <n v="176"/>
  </r>
  <r>
    <s v="CPA - bdsm - Video-IS Xvideos - iOS - Other Countries"/>
    <x v="1"/>
    <s v="1d. Oceangate"/>
    <s v="Running"/>
    <n v="7791678"/>
    <s v="Video (Video)"/>
    <n v="0"/>
    <n v="1202"/>
    <n v="0.51102750427441801"/>
    <n v="286.63277201"/>
    <n v="0.214300359247274"/>
    <n v="0.23846320466722101"/>
    <n v="3"/>
    <n v="95.544257336666604"/>
    <s v="null"/>
    <s v="Unlimited"/>
  </r>
  <r>
    <s v="CPA - hairy - Video-IS Xvideos - iOS - US"/>
    <x v="4"/>
    <s v="1d. Oceangate"/>
    <s v="Running"/>
    <n v="7791262"/>
    <s v="Video (Video)"/>
    <n v="0"/>
    <n v="394"/>
    <n v="1"/>
    <n v="169.46199999999999"/>
    <n v="0.23250050158737601"/>
    <n v="0.43010659898477099"/>
    <n v="3"/>
    <n v="56.487333333333297"/>
    <s v="null"/>
    <s v="Unlimited"/>
  </r>
  <r>
    <s v="CPA - Category: Asian - Video-IS Xvideos - Android Generic - US"/>
    <x v="5"/>
    <s v="a99. Archived"/>
    <s v="Paused"/>
    <n v="7791208"/>
    <s v="Video (Video)"/>
    <n v="0"/>
    <n v="1880"/>
    <n v="1"/>
    <n v="349.59800000000001"/>
    <n v="0.53776051350408105"/>
    <n v="0.18595638297872299"/>
    <n v="3"/>
    <n v="116.532666666666"/>
    <s v="null"/>
    <s v="Unlimited"/>
  </r>
  <r>
    <s v="CPA - lingerie - Video-IS Xvideos - iOS - US"/>
    <x v="8"/>
    <s v="1d. Oceangate"/>
    <s v="Running"/>
    <n v="7790882"/>
    <s v="Video (Video)"/>
    <n v="0"/>
    <n v="416"/>
    <n v="1"/>
    <n v="167.50700000000001"/>
    <n v="0.24834783023993001"/>
    <n v="0.40266105769230698"/>
    <n v="3"/>
    <n v="55.835666666666597"/>
    <s v="null"/>
    <s v="Unlimited"/>
  </r>
  <r>
    <s v="CPA - Handjob - Video-IS Xvideos - Android Generic - Other Countries"/>
    <x v="10"/>
    <s v="a99. Archived"/>
    <s v="Paused"/>
    <n v="7790670"/>
    <s v="Video (Video)"/>
    <n v="0"/>
    <n v="2189"/>
    <n v="0.63547610471937799"/>
    <n v="189.56379299"/>
    <n v="0.733820088366822"/>
    <n v="8.6598352211055205E-2"/>
    <n v="3"/>
    <n v="63.187930996666601"/>
    <s v="null"/>
    <s v="Unlimited"/>
  </r>
  <r>
    <s v="CPA - bbc - Video-IS Xvideos - Android Generic - US"/>
    <x v="14"/>
    <s v="a99. Archived"/>
    <s v="Paused"/>
    <n v="7790208"/>
    <s v="Video (Video)"/>
    <n v="0"/>
    <n v="1586"/>
    <n v="1"/>
    <n v="286.88900000000001"/>
    <n v="0.55282705157743905"/>
    <n v="0.180888398486759"/>
    <n v="3"/>
    <n v="95.629666666666594"/>
    <s v="null"/>
    <s v="Unlimited"/>
  </r>
  <r>
    <s v="CPA - pov - Video-IS Xvideos - iOS - CA"/>
    <x v="18"/>
    <s v="1d. Oceangate"/>
    <s v="Running"/>
    <n v="7762852"/>
    <s v="Video (Video)"/>
    <n v="0"/>
    <n v="438"/>
    <n v="1"/>
    <n v="162.25200000000001"/>
    <n v="0.269950447452111"/>
    <n v="0.37043835616438298"/>
    <n v="3"/>
    <n v="54.084000000000003"/>
    <s v="null"/>
    <s v="Unlimited"/>
  </r>
  <r>
    <s v="CPA - Category: Latina - Video-IS Xvideos - iOS - Other Countries"/>
    <x v="20"/>
    <s v="a99. Archived"/>
    <s v="Paused"/>
    <n v="7762312"/>
    <s v="Video (Video)"/>
    <n v="0"/>
    <n v="1557"/>
    <n v="0.70380184220028197"/>
    <n v="329.41374844000001"/>
    <n v="0.33265747817002"/>
    <n v="0.21156952372511201"/>
    <n v="3"/>
    <n v="109.804582813333"/>
    <s v="null"/>
    <s v="Unlimited"/>
  </r>
  <r>
    <s v="CPA - power - Video-IS Xvideos - iOS - USA"/>
    <x v="9"/>
    <s v="a99. Archived"/>
    <s v="Paused"/>
    <n v="7744400"/>
    <s v="Video (Video)"/>
    <n v="0"/>
    <n v="350"/>
    <n v="1.7603170707395499"/>
    <n v="191.61051315"/>
    <n v="0.32154340836012801"/>
    <n v="0.54745860899999998"/>
    <n v="3"/>
    <n v="63.870171050000003"/>
    <s v="null"/>
    <s v="Unlimited"/>
  </r>
  <r>
    <s v="CPA - edging - Video-IS Xvideos - iOS - USA"/>
    <x v="16"/>
    <s v="a99. Archived"/>
    <s v="Paused"/>
    <n v="7728476"/>
    <s v="Video (Video)"/>
    <n v="0"/>
    <n v="492"/>
    <n v="1.77168493717544"/>
    <n v="208.11982957000001"/>
    <n v="0.41883033966118999"/>
    <n v="0.42300778367886099"/>
    <n v="3"/>
    <n v="69.373276523333303"/>
    <s v="null"/>
    <s v="Unlimited"/>
  </r>
  <r>
    <s v="CPA - pregnant - Video-IS Xvideos - iOS - USA"/>
    <x v="137"/>
    <s v="1c. Scaling"/>
    <s v="Running"/>
    <n v="7728304"/>
    <s v="Video (Video)"/>
    <n v="0"/>
    <n v="222"/>
    <n v="1"/>
    <n v="96.715000000000003"/>
    <n v="0.22954040221268601"/>
    <n v="0.43565315315315301"/>
    <n v="3"/>
    <n v="32.238333333333301"/>
    <s v="null"/>
    <n v="200"/>
  </r>
  <r>
    <s v="CPA - facesitting - Video-IS Xvideos - iOS - USA"/>
    <x v="138"/>
    <s v="1c. Scaling"/>
    <s v="Running"/>
    <n v="7727946"/>
    <s v="Video (Video)"/>
    <n v="0"/>
    <n v="477"/>
    <n v="1"/>
    <n v="188.35599999999999"/>
    <n v="0.25324385737645699"/>
    <n v="0.394876310272536"/>
    <n v="3"/>
    <n v="62.785333333333298"/>
    <s v="null"/>
    <s v="Unlimited"/>
  </r>
  <r>
    <s v="CPA - hotel - Video-IS Xvideos - iOS - USA"/>
    <x v="139"/>
    <s v="1c. Scaling"/>
    <s v="Running"/>
    <n v="7727524"/>
    <s v="Video (Video)"/>
    <n v="0"/>
    <n v="431"/>
    <n v="0.999999999999999"/>
    <n v="179.02599999999899"/>
    <n v="0.24074715404466299"/>
    <n v="0.41537354988399"/>
    <n v="3"/>
    <n v="59.675333333333299"/>
    <s v="null"/>
    <s v="Unlimited"/>
  </r>
  <r>
    <s v="CPA - casting - Video-IS Xvideos - iOS - USA"/>
    <x v="140"/>
    <s v="a99. Archived"/>
    <s v="Paused"/>
    <n v="7727324"/>
    <s v="Video (Video)"/>
    <n v="0"/>
    <n v="593"/>
    <n v="1"/>
    <n v="282.47699999999998"/>
    <n v="0.209928595956484"/>
    <n v="0.476352445193929"/>
    <n v="3"/>
    <n v="94.159000000000006"/>
    <s v="null"/>
    <s v="Unlimited"/>
  </r>
  <r>
    <s v="CPA - straight - Video-IS Xvideos - iOS - USA"/>
    <x v="141"/>
    <s v="1c. Scaling"/>
    <s v="Running"/>
    <n v="7727260"/>
    <s v="Video (Video)"/>
    <n v="0"/>
    <n v="379"/>
    <n v="1"/>
    <n v="159.94499999999999"/>
    <n v="0.23695645378098701"/>
    <n v="0.42201846965699202"/>
    <n v="3"/>
    <n v="53.314999999999998"/>
    <s v="null"/>
    <s v="Unlimited"/>
  </r>
  <r>
    <s v="CPA - petite - Video-IS Xvideos - iOS - USA"/>
    <x v="142"/>
    <s v="a99. Archived"/>
    <s v="Paused"/>
    <n v="7727214"/>
    <s v="Video (Video)"/>
    <n v="0"/>
    <n v="587"/>
    <n v="1"/>
    <n v="214.298"/>
    <n v="0.27391762872261899"/>
    <n v="0.36507325383304901"/>
    <n v="3"/>
    <n v="71.432666666666606"/>
    <s v="null"/>
    <s v="Unlimited"/>
  </r>
  <r>
    <s v="CPA - interracial - Video-IS Xvideos - iOS - USA"/>
    <x v="143"/>
    <s v="a99. Archived"/>
    <s v="Paused"/>
    <n v="7727022"/>
    <s v="Video (Video)"/>
    <n v="0"/>
    <n v="916"/>
    <n v="1"/>
    <n v="407.82400000000001"/>
    <n v="0.22460669308329001"/>
    <n v="0.44522270742358"/>
    <n v="3"/>
    <n v="135.94133333333301"/>
    <s v="null"/>
    <s v="Unlimited"/>
  </r>
  <r>
    <s v="CPA - Disney - Video-IS Xvideos - iOS - USA"/>
    <x v="2"/>
    <s v="a99. Archived"/>
    <s v="Paused"/>
    <n v="7718174"/>
    <s v="Video (Video)"/>
    <n v="0"/>
    <n v="513"/>
    <n v="1"/>
    <n v="161.25299999999999"/>
    <n v="0.318133616118769"/>
    <n v="0.31433333333333302"/>
    <n v="3"/>
    <n v="53.750999999999998"/>
    <s v="null"/>
    <s v="Unlimited"/>
  </r>
  <r>
    <s v="CPA - Handjob - Video-IS Xvideos - iOS - USA"/>
    <x v="10"/>
    <s v="a99. Archived"/>
    <s v="Paused"/>
    <n v="7718144"/>
    <s v="Video (Video)"/>
    <n v="0"/>
    <n v="639"/>
    <n v="1"/>
    <n v="208.31399999999999"/>
    <n v="0.306748466257668"/>
    <n v="0.32600000000000001"/>
    <n v="3"/>
    <n v="69.438000000000002"/>
    <s v="null"/>
    <s v="Unlimited"/>
  </r>
  <r>
    <s v="CPA - Fantasy - Video-IS Xvideos - iOS - USA"/>
    <x v="144"/>
    <s v="a99. Archived"/>
    <s v="Paused"/>
    <n v="7718122"/>
    <s v="Video (Video)"/>
    <n v="0"/>
    <n v="743"/>
    <n v="0.999999999999999"/>
    <n v="266.022999999999"/>
    <n v="0.27929915834345098"/>
    <n v="0.35803903095558498"/>
    <n v="3"/>
    <n v="88.674333333333294"/>
    <s v="null"/>
    <s v="Unlimited"/>
  </r>
  <r>
    <s v="CPA - Category: Squirting - Video-IS Xvideos - iOS - USA"/>
    <x v="12"/>
    <s v="a99. Archived"/>
    <s v="Paused"/>
    <n v="7718068"/>
    <s v="Video (Video)"/>
    <n v="0"/>
    <n v="640"/>
    <n v="1"/>
    <n v="231.30099999999999"/>
    <n v="0.27669573412998599"/>
    <n v="0.36140781249999998"/>
    <n v="3"/>
    <n v="77.100333333333296"/>
    <s v="null"/>
    <s v="Unlimited"/>
  </r>
  <r>
    <s v="CPA - Category: Anal - Video-IS Xvideos - iOS - USA"/>
    <x v="145"/>
    <s v="a99. Archived"/>
    <s v="Paused"/>
    <n v="7717984"/>
    <s v="Video (Video)"/>
    <n v="0"/>
    <n v="861"/>
    <n v="1"/>
    <n v="316.82400000000001"/>
    <n v="0.271759715173092"/>
    <n v="0.36797212543553998"/>
    <n v="3"/>
    <n v="105.608"/>
    <s v="null"/>
    <s v="Unlimited"/>
  </r>
  <r>
    <s v="CPA - lingerie - Video-IS Xvideos - Android Generic - US"/>
    <x v="8"/>
    <s v="a99. Archived"/>
    <s v="Paused"/>
    <n v="7790890"/>
    <s v="Video (Video)"/>
    <n v="0"/>
    <n v="2546"/>
    <n v="1"/>
    <n v="485.62799999999999"/>
    <n v="0.52426960554169"/>
    <n v="0.190741555380989"/>
    <n v="4"/>
    <n v="121.407"/>
    <s v="null"/>
    <s v="Unlimited"/>
  </r>
  <r>
    <s v="CPA - Handjob - Video-IS Xvideos - Android Generic - CA"/>
    <x v="10"/>
    <s v="1d. Oceangate"/>
    <s v="Running"/>
    <n v="7790642"/>
    <s v="Video (Video)"/>
    <n v="0"/>
    <n v="1481"/>
    <n v="1.00141197694672"/>
    <n v="381.74225125999999"/>
    <n v="0.38850589185842699"/>
    <n v="0.25775979153274797"/>
    <n v="4"/>
    <n v="95.435562814999997"/>
    <s v="null"/>
    <s v="Unlimited"/>
  </r>
  <r>
    <s v="CPA - roleplay - Video-IS Xvideos - iOS - US"/>
    <x v="11"/>
    <s v="1d. Oceangate"/>
    <s v="Running"/>
    <n v="7790488"/>
    <s v="Video (Video)"/>
    <n v="0"/>
    <n v="312"/>
    <n v="1"/>
    <n v="132.06399999999999"/>
    <n v="0.236249091349648"/>
    <n v="0.42328205128205099"/>
    <n v="4"/>
    <n v="33.015999999999998"/>
    <s v="null"/>
    <s v="Unlimited"/>
  </r>
  <r>
    <s v="CPA - milf - Video-IS Xvideos - Android Generic - US"/>
    <x v="13"/>
    <s v="a99. Archived"/>
    <s v="Paused"/>
    <n v="7790270"/>
    <s v="Video (Video)"/>
    <n v="0"/>
    <n v="1322"/>
    <n v="1"/>
    <n v="274.61200000000002"/>
    <n v="0.48140649352540998"/>
    <n v="0.20772465960665601"/>
    <n v="4"/>
    <n v="68.653000000000006"/>
    <s v="null"/>
    <s v="Unlimited"/>
  </r>
  <r>
    <s v="CPA - creampie - Video-IS Xvideos - Android Generic - CA"/>
    <x v="15"/>
    <s v="a99. Archived"/>
    <s v="Paused"/>
    <n v="7790158"/>
    <s v="Video (Video)"/>
    <n v="0"/>
    <n v="2016"/>
    <n v="0.99932886675208599"/>
    <n v="435.98419999999999"/>
    <n v="0.46209174446509899"/>
    <n v="0.21626200396825301"/>
    <n v="4"/>
    <n v="108.99605"/>
    <s v="null"/>
    <s v="Unlimited"/>
  </r>
  <r>
    <s v="CPA - stepsister - Video-IS Xvideos - iOS - US"/>
    <x v="17"/>
    <s v="1d. Oceangate"/>
    <s v="Paused"/>
    <n v="7762902"/>
    <s v="Video (Video)"/>
    <n v="0"/>
    <n v="925"/>
    <n v="1"/>
    <n v="304.80700000000002"/>
    <n v="0.303470720816779"/>
    <n v="0.32952108108108102"/>
    <n v="4"/>
    <n v="76.201750000000004"/>
    <s v="null"/>
    <s v="Unlimited"/>
  </r>
  <r>
    <s v="CPA - hairy - Video-IS Xvideos - iOS - USA"/>
    <x v="4"/>
    <s v="a99. Archived"/>
    <s v="Paused"/>
    <n v="7728630"/>
    <s v="Video (Video)"/>
    <n v="0"/>
    <n v="522"/>
    <n v="1"/>
    <n v="208.10599999999999"/>
    <n v="0.25083370974407199"/>
    <n v="0.398670498084291"/>
    <n v="4"/>
    <n v="52.026499999999999"/>
    <s v="null"/>
    <s v="Unlimited"/>
  </r>
  <r>
    <s v="CPA - goth - Video-IS Xvideos - iOS - USA"/>
    <x v="146"/>
    <s v="1c. Scaling"/>
    <s v="Running"/>
    <n v="7727100"/>
    <s v="Video (Video)"/>
    <n v="0"/>
    <n v="431"/>
    <n v="1"/>
    <n v="142.21100000000001"/>
    <n v="0.30307078917945801"/>
    <n v="0.32995591647331701"/>
    <n v="4"/>
    <n v="35.552750000000003"/>
    <s v="null"/>
    <s v="Unlimited"/>
  </r>
  <r>
    <s v="CPA - japanese - Video-IS Xvideos - iOS - USA"/>
    <x v="147"/>
    <s v="1c. Scaling"/>
    <s v="Paused"/>
    <n v="7726402"/>
    <s v="Video (Video)"/>
    <n v="0"/>
    <n v="666"/>
    <n v="1"/>
    <n v="263.94799999999998"/>
    <n v="0.25232242714474001"/>
    <n v="0.39631831831831799"/>
    <n v="4"/>
    <n v="65.986999999999995"/>
    <s v="null"/>
    <s v="Unlimited"/>
  </r>
  <r>
    <s v="CPA - milf - Video-IS Xvideos - iOS - USA"/>
    <x v="13"/>
    <s v="a99. Archived"/>
    <s v="Paused"/>
    <n v="7726260"/>
    <s v="Video (Video)"/>
    <n v="0"/>
    <n v="989"/>
    <n v="0.99997265066350605"/>
    <n v="351.00439999999998"/>
    <n v="0.28175514366948301"/>
    <n v="0.35490839231547"/>
    <n v="4"/>
    <n v="87.751099999999994"/>
    <s v="null"/>
    <s v="Unlimited"/>
  </r>
  <r>
    <s v="CPA - Category: Japanese - Video-IS Xvideos - iOS - USA"/>
    <x v="6"/>
    <s v="a99. Archived"/>
    <s v="Paused"/>
    <n v="7718112"/>
    <s v="Video (Video)"/>
    <n v="0"/>
    <n v="819"/>
    <n v="1.08514275032603"/>
    <n v="353.63174519"/>
    <n v="0.25131564815809199"/>
    <n v="0.43178479266178199"/>
    <n v="4"/>
    <n v="88.407936297500001"/>
    <s v="null"/>
    <s v="Unlimited"/>
  </r>
  <r>
    <s v="CPA - Category: Cartoons/Hentai - Video-IS Xvideos - Android Generic - NZL"/>
    <x v="101"/>
    <s v="1e. Ocean"/>
    <s v="Running"/>
    <n v="7717882"/>
    <s v="Video (Video)"/>
    <n v="0"/>
    <n v="469"/>
    <n v="1.01490091390505"/>
    <n v="96.592179579999893"/>
    <n v="0.492781642045096"/>
    <n v="0.205953474584221"/>
    <n v="4"/>
    <n v="24.148044894999899"/>
    <s v="null"/>
    <n v="200"/>
  </r>
  <r>
    <s v="CPA - milf - Video-IS Xvideos - iOS - US"/>
    <x v="13"/>
    <s v="1d. Oceangate"/>
    <s v="Running"/>
    <n v="7790262"/>
    <s v="Video (Video)"/>
    <n v="0"/>
    <n v="1103"/>
    <n v="1.00845449954249"/>
    <n v="449.66179370999998"/>
    <n v="0.247369318130847"/>
    <n v="0.40767161714415201"/>
    <n v="5"/>
    <n v="89.932358741999906"/>
    <s v="null"/>
    <s v="Unlimited"/>
  </r>
  <r>
    <s v="CPA - creampie - Video-IS Xvideos - iOS - US"/>
    <x v="15"/>
    <s v="1d. Oceangate"/>
    <s v="Running"/>
    <n v="7790134"/>
    <s v="Video (Video)"/>
    <n v="0"/>
    <n v="1052"/>
    <n v="1"/>
    <n v="466.51499999999999"/>
    <n v="0.22550185953291901"/>
    <n v="0.44345532319391601"/>
    <n v="5"/>
    <n v="93.302999999999997"/>
    <s v="null"/>
    <s v="Unlimited"/>
  </r>
  <r>
    <s v="CPA - roleplay - Video-IS Xvideos - iOS - USA"/>
    <x v="11"/>
    <s v="a99. Archived"/>
    <s v="Paused"/>
    <n v="7727366"/>
    <s v="Video (Video)"/>
    <n v="0"/>
    <n v="936"/>
    <n v="1"/>
    <n v="347.40499999999997"/>
    <n v="0.269426174061973"/>
    <n v="0.37115918803418801"/>
    <n v="5"/>
    <n v="69.480999999999995"/>
    <s v="null"/>
    <s v="Unlimited"/>
  </r>
  <r>
    <s v="CPA - milf - Video-IS Xvideos - Android Generic - Other Countries"/>
    <x v="13"/>
    <s v="a99. Archived"/>
    <s v="Paused"/>
    <n v="7790310"/>
    <s v="Video (Video)"/>
    <n v="0"/>
    <n v="9378"/>
    <n v="0.60904846505376498"/>
    <n v="800.71053557000005"/>
    <n v="0.71332351099992297"/>
    <n v="8.5381801617615702E-2"/>
    <n v="6"/>
    <n v="133.451755928333"/>
    <s v="null"/>
    <s v="Unlimited"/>
  </r>
  <r>
    <s v="CPA - pov - Video-IS Xvideos - iOS - US"/>
    <x v="18"/>
    <s v="1d. Oceangate"/>
    <s v="Running"/>
    <n v="7762838"/>
    <s v="Video (Video)"/>
    <n v="0"/>
    <n v="1406"/>
    <n v="1.0096763480200801"/>
    <n v="539.46098566000001"/>
    <n v="0.26315247683378501"/>
    <n v="0.38368491156472201"/>
    <n v="6"/>
    <n v="89.910164276666606"/>
    <s v="null"/>
    <s v="Unlimited"/>
  </r>
  <r>
    <s v="CPA - threesome - Video-IS Xvideos - Android Generic - Other Countries"/>
    <x v="19"/>
    <s v="a99. Archived"/>
    <s v="Paused"/>
    <n v="7762822"/>
    <s v="Video (Video)"/>
    <n v="0"/>
    <n v="8283"/>
    <n v="0.55139650430105702"/>
    <n v="629.27078399999903"/>
    <n v="0.72579521586777795"/>
    <n v="7.5971361101050294E-2"/>
    <n v="6"/>
    <n v="104.87846399999999"/>
    <s v="null"/>
    <s v="Unlimited"/>
  </r>
  <r>
    <s v="CPA - threesome - Video-IS Xvideos - iOS - US"/>
    <x v="19"/>
    <s v="1d. Oceangate"/>
    <s v="Running"/>
    <n v="7762776"/>
    <s v="Video (Video)"/>
    <n v="0"/>
    <n v="886"/>
    <n v="1"/>
    <n v="368.553"/>
    <n v="0.240399616880068"/>
    <n v="0.41597404063205401"/>
    <n v="6"/>
    <n v="61.4255"/>
    <s v="null"/>
    <s v="Unlimited"/>
  </r>
  <r>
    <s v="CPA - feet - Video-IS Xvideos - iOS - USA"/>
    <x v="148"/>
    <s v="1c. Scaling"/>
    <s v="Running"/>
    <n v="7727754"/>
    <s v="Video (Video)"/>
    <n v="0"/>
    <n v="618"/>
    <n v="1"/>
    <n v="226.33699999999999"/>
    <n v="0.273044177487551"/>
    <n v="0.366241100323624"/>
    <n v="6"/>
    <n v="37.722833333333298"/>
    <s v="null"/>
    <s v="Unlimited"/>
  </r>
  <r>
    <s v="CPA - public - Video-IS Xvideos - iOS - USA"/>
    <x v="149"/>
    <s v="1c. Scaling"/>
    <s v="Running"/>
    <n v="7727282"/>
    <s v="Video (Video)"/>
    <n v="0"/>
    <n v="694"/>
    <n v="1"/>
    <n v="306.16199999999998"/>
    <n v="0.226677379949177"/>
    <n v="0.44115561959654098"/>
    <n v="6"/>
    <n v="51.027000000000001"/>
    <s v="null"/>
    <s v="Unlimited"/>
  </r>
  <r>
    <s v="CPA - bdsm - Video-IS Xvideos - iOS - USA"/>
    <x v="1"/>
    <s v="a99. Archived"/>
    <s v="Paused"/>
    <n v="7726996"/>
    <s v="Video (Video)"/>
    <n v="0"/>
    <n v="306"/>
    <n v="1.13828337587295"/>
    <n v="151.09459702999999"/>
    <n v="0.23052757667302001"/>
    <n v="0.49377319290849597"/>
    <n v="6"/>
    <n v="25.182432838333298"/>
    <s v="null"/>
    <s v="Unlimited"/>
  </r>
  <r>
    <s v="CPA - Category: Asian - Video-IS Xvideos - iOS - USA"/>
    <x v="5"/>
    <s v="1d. Oceangate"/>
    <s v="Running"/>
    <n v="7717996"/>
    <s v="Video (Video)"/>
    <n v="0"/>
    <n v="717"/>
    <n v="1.08548237554755"/>
    <n v="300.58418105999999"/>
    <n v="0.25892608869933798"/>
    <n v="0.41922479924686101"/>
    <n v="6"/>
    <n v="50.097363510000001"/>
    <s v="null"/>
    <s v="Unlimited"/>
  </r>
  <r>
    <s v="[Traffic Share - 90 %] - CPA - Xvideos Hentai Header - NativeVideo - Mobile - USAUCAUK"/>
    <x v="150"/>
    <s v="a99. Archived"/>
    <s v="Paused"/>
    <n v="7664880"/>
    <s v="Native Ad (Native Ads)"/>
    <n v="67647727"/>
    <n v="20279"/>
    <n v="9.9999999999999898E-3"/>
    <n v="676.47726999999998"/>
    <n v="2.9977356075836799E-2"/>
    <n v="3.3358512254055901E-2"/>
    <n v="6"/>
    <n v="112.746211666666"/>
    <s v="null"/>
    <s v="Unlimited"/>
  </r>
  <r>
    <s v="CPA - pov - Video-IS Xvideos - Android Generic - US"/>
    <x v="18"/>
    <s v="a99. Archived"/>
    <s v="Paused"/>
    <n v="7762848"/>
    <s v="Video (Video)"/>
    <n v="0"/>
    <n v="3272"/>
    <n v="1"/>
    <n v="482.892"/>
    <n v="0.67758422173073896"/>
    <n v="0.14758312958435199"/>
    <n v="7"/>
    <n v="68.9845714285714"/>
    <s v="null"/>
    <s v="Unlimited"/>
  </r>
  <r>
    <s v="CPA - lingerie - Video-IS Xvideos - iOS - USA"/>
    <x v="8"/>
    <s v="1d. Oceangate"/>
    <s v="Running"/>
    <n v="7727460"/>
    <s v="Video (Video)"/>
    <n v="0"/>
    <n v="921"/>
    <n v="1.0094851956977"/>
    <n v="323.89534400999997"/>
    <n v="0.28704823407676999"/>
    <n v="0.35167789794788201"/>
    <n v="7"/>
    <n v="46.270763430000002"/>
    <s v="null"/>
    <s v="Unlimited"/>
  </r>
  <r>
    <s v="CPA - orgy - Video-IS Xvideos - iOS - USA"/>
    <x v="151"/>
    <s v="1c. Scaling"/>
    <s v="Running"/>
    <n v="7727240"/>
    <s v="Video (Video)"/>
    <n v="0"/>
    <n v="796"/>
    <n v="1.0069346610627401"/>
    <n v="359.60758243999999"/>
    <n v="0.222887399861675"/>
    <n v="0.45176831964824099"/>
    <n v="7"/>
    <n v="51.372511777142797"/>
    <s v="null"/>
    <s v="Unlimited"/>
  </r>
  <r>
    <s v="CPA - lesbian - Video-IS Xvideos - iOS - USA"/>
    <x v="152"/>
    <s v="1c. Scaling"/>
    <s v="Paused"/>
    <n v="7726310"/>
    <s v="Video (Video)"/>
    <n v="0"/>
    <n v="1495"/>
    <n v="0.99953463241683804"/>
    <n v="481.93861697"/>
    <n v="0.31006112040948802"/>
    <n v="0.32236696787290903"/>
    <n v="7"/>
    <n v="68.848373852857094"/>
    <s v="null"/>
    <s v="Unlimited"/>
  </r>
  <r>
    <s v="CPA - Category: Latina - Video-IS Xvideos - iOS - USA"/>
    <x v="20"/>
    <s v="a99. Archived"/>
    <s v="Paused"/>
    <n v="7718034"/>
    <s v="Video (Video)"/>
    <n v="0"/>
    <n v="1410"/>
    <n v="1"/>
    <n v="532.226"/>
    <n v="0.264925050636383"/>
    <n v="0.37746524822694999"/>
    <n v="7"/>
    <n v="76.032285714285706"/>
    <s v="null"/>
    <s v="Unlimited"/>
  </r>
  <r>
    <s v="CPA - Handjob - Video-IS Xvideos - iOS - Other Countries"/>
    <x v="10"/>
    <s v="1d. Oceangate"/>
    <s v="Paused"/>
    <n v="7790660"/>
    <s v="Video (Video)"/>
    <n v="0"/>
    <n v="3706"/>
    <n v="0.52925458969211403"/>
    <n v="691.24248345000001"/>
    <n v="0.28375245393042298"/>
    <n v="0.18651982823799201"/>
    <n v="8"/>
    <n v="86.405310431250001"/>
    <s v="null"/>
    <s v="Unlimited"/>
  </r>
  <r>
    <s v="CPA - cuckold - Video-IS Xvideos - iOS - USA"/>
    <x v="7"/>
    <s v="1d. Oceangate"/>
    <s v="Paused"/>
    <n v="7727174"/>
    <s v="Video (Video)"/>
    <n v="0"/>
    <n v="896"/>
    <n v="1.05317349474662"/>
    <n v="471.51841167999999"/>
    <n v="0.20012865413479999"/>
    <n v="0.52624822732142795"/>
    <n v="8"/>
    <n v="58.939801459999998"/>
    <s v="null"/>
    <s v="Unlimited"/>
  </r>
  <r>
    <s v="[Traffic Share - 20 %] - CPA - Xvideos Japanese - Video-IS - Mobile - UK AU CA"/>
    <x v="153"/>
    <s v="a99. Archived"/>
    <s v="Paused"/>
    <n v="7627356"/>
    <s v="Video (Video)"/>
    <n v="0"/>
    <n v="2874"/>
    <n v="1.8009999999999999"/>
    <n v="846.18003899999997"/>
    <n v="0.61169890111293401"/>
    <n v="0.29442590083507297"/>
    <n v="8"/>
    <n v="105.772504875"/>
    <s v="null"/>
    <n v="71"/>
  </r>
  <r>
    <s v="CPA - demon - Video-IS Xvideos - iOS - USA"/>
    <x v="154"/>
    <s v="1c. Scaling"/>
    <s v="Running"/>
    <n v="7744116"/>
    <s v="Video (Video)"/>
    <n v="0"/>
    <n v="1607"/>
    <n v="1.6179486212110901"/>
    <n v="502.87299301000002"/>
    <n v="0.517037794915848"/>
    <n v="0.31292656690105702"/>
    <n v="9"/>
    <n v="55.874777001111099"/>
    <s v="null"/>
    <s v="Unlimited"/>
  </r>
  <r>
    <s v="CPA - squirt - Video-IS Xvideos - iOS - USA"/>
    <x v="3"/>
    <s v="a99. Archived"/>
    <s v="Paused"/>
    <n v="7726798"/>
    <s v="Video (Video)"/>
    <n v="0"/>
    <n v="966"/>
    <n v="1.30073303051061"/>
    <n v="408.24546749000001"/>
    <n v="0.30778250036640697"/>
    <n v="0.42261435557971"/>
    <n v="9"/>
    <n v="45.360607498888797"/>
    <s v="null"/>
    <s v="Unlimited"/>
  </r>
  <r>
    <s v="CPA - misty - Video-IS Xvideos - iOS - USA"/>
    <x v="155"/>
    <s v="1c. Scaling"/>
    <s v="Paused"/>
    <n v="7744188"/>
    <s v="Video (Video)"/>
    <n v="0"/>
    <n v="1334"/>
    <n v="1.69964947614569"/>
    <n v="800.61478679000004"/>
    <n v="0.28319891645631901"/>
    <n v="0.60016100958770602"/>
    <n v="10"/>
    <n v="80.061478679000004"/>
    <s v="null"/>
    <s v="Unlimited"/>
  </r>
  <r>
    <s v="CPA - dental - Video-IS Xvideos - iOS - USA"/>
    <x v="156"/>
    <s v="a99. Archived"/>
    <s v="Paused"/>
    <n v="7728902"/>
    <s v="Video (Video)"/>
    <n v="0"/>
    <n v="2377"/>
    <n v="1.6673190406094001"/>
    <n v="1078.41528619"/>
    <n v="0.36750381882386401"/>
    <n v="0.45368754151872098"/>
    <n v="10"/>
    <n v="107.841528619"/>
    <s v="null"/>
    <s v="Unlimited"/>
  </r>
  <r>
    <s v="CPA - stepsister - Video-IS Xvideos - iOS - USA"/>
    <x v="17"/>
    <s v="a99. Archived"/>
    <s v="Paused"/>
    <n v="7727154"/>
    <s v="Video (Video)"/>
    <n v="0"/>
    <n v="1190"/>
    <n v="1.49690241547602"/>
    <n v="465.59053970000002"/>
    <n v="0.38259236872902103"/>
    <n v="0.39125255436974699"/>
    <n v="10"/>
    <n v="46.559053970000001"/>
    <s v="null"/>
    <s v="Unlimited"/>
  </r>
  <r>
    <s v="CPA - Gay - Video-IS Xvideos - Mobile - Desktop - Canada"/>
    <x v="103"/>
    <s v="1c. Scaling - Gay"/>
    <s v="Paused"/>
    <n v="7757662"/>
    <s v="Video (Video)"/>
    <n v="0"/>
    <n v="24965"/>
    <n v="0.67463861118563995"/>
    <n v="995.71801613000002"/>
    <n v="1.6914781750871299"/>
    <n v="3.9884559027838898E-2"/>
    <n v="12"/>
    <n v="82.976501344166607"/>
    <s v="null"/>
    <s v="Unlimited"/>
  </r>
  <r>
    <s v="CPA - pov - Video-IS Xvideos - iOS - USA"/>
    <x v="18"/>
    <s v="a99. Archived"/>
    <s v="Paused"/>
    <n v="7726754"/>
    <s v="Video (Video)"/>
    <n v="0"/>
    <n v="1726"/>
    <n v="1.3112055769430799"/>
    <n v="781.46016698000005"/>
    <n v="0.28960411821754201"/>
    <n v="0.45275791829663897"/>
    <n v="13"/>
    <n v="60.112320536923001"/>
    <s v="null"/>
    <s v="Unlimited"/>
  </r>
  <r>
    <s v="Fixed CPM - Xvideos Hentai - Video-IS - Mobile - T2"/>
    <x v="157"/>
    <s v="a99. Archived"/>
    <s v="Paused"/>
    <n v="7796812"/>
    <s v="Video (Video)"/>
    <n v="0"/>
    <n v="24644"/>
    <n v="0.57099999999997797"/>
    <n v="2631.2782029998998"/>
    <n v="0.53478662894544504"/>
    <n v="0.106771555064108"/>
    <n v="17"/>
    <n v="154.78107076469999"/>
    <s v="null"/>
    <n v="162"/>
  </r>
  <r>
    <s v="CPA - Category: Squirting - Video-IS Xvideos - Android Generic - US"/>
    <x v="12"/>
    <s v="1e. Ocean"/>
    <s v="Paused"/>
    <n v="7790420"/>
    <s v="Video (Video)"/>
    <n v="0"/>
    <n v="6951"/>
    <n v="1.1167288580138399"/>
    <n v="1470.8044933799999"/>
    <n v="0.52776438520498203"/>
    <n v="0.21159610032800999"/>
    <n v="18"/>
    <n v="81.711360743333302"/>
    <s v="null"/>
    <s v="Unlimited"/>
  </r>
  <r>
    <s v="CPA - threesome - Video-IS Xvideos - iOS - USA"/>
    <x v="19"/>
    <s v="a99. Archived"/>
    <s v="Paused"/>
    <n v="7726516"/>
    <s v="Video (Video)"/>
    <n v="0"/>
    <n v="2382"/>
    <n v="1.51289084256252"/>
    <n v="1175.0653431999999"/>
    <n v="0.30668132694392403"/>
    <n v="0.49331038757346701"/>
    <n v="19"/>
    <n v="61.845544378947302"/>
    <s v="null"/>
    <s v="Unlimited"/>
  </r>
  <r>
    <s v="CPA - Disney - Video-IS Xvideos - Android Generic - US"/>
    <x v="2"/>
    <s v="1e. Ocean"/>
    <s v="Running"/>
    <n v="7791462"/>
    <s v="Video (Video)"/>
    <n v="0"/>
    <n v="6587"/>
    <n v="1.1339511142693299"/>
    <n v="1499.22171509999"/>
    <n v="0.49821423438986701"/>
    <n v="0.22760311448307199"/>
    <n v="24"/>
    <n v="62.467571462499897"/>
    <s v="null"/>
    <s v="Unlimited"/>
  </r>
  <r>
    <s v="CPA - Gay - Video-IS Xvideos - Mobile - UK"/>
    <x v="103"/>
    <s v="a99. Archived"/>
    <s v="Paused"/>
    <n v="7754986"/>
    <s v="Video (Video)"/>
    <n v="0"/>
    <n v="44852"/>
    <n v="1.0212151293349701"/>
    <n v="1842.2302235"/>
    <n v="2.4863092786476799"/>
    <n v="4.1073535706323001E-2"/>
    <n v="26"/>
    <n v="70.855008596153795"/>
    <s v="null"/>
    <s v="Unlimited"/>
  </r>
  <r>
    <s v="CPA - squirt - Video-IS Xvideos - Android Generic - US"/>
    <x v="3"/>
    <s v="1e. Ocean"/>
    <s v="Paused"/>
    <n v="7791400"/>
    <s v="Video (Video)"/>
    <n v="0"/>
    <n v="8980"/>
    <n v="1.3721172037414999"/>
    <n v="2383.0039718399998"/>
    <n v="0.51706218853192898"/>
    <n v="0.265367925594654"/>
    <n v="30"/>
    <n v="79.433465728000002"/>
    <s v="null"/>
    <s v="Unlimited"/>
  </r>
  <r>
    <s v="CPA - Gay - Video-IS Xvideos - Mobile - Canada"/>
    <x v="103"/>
    <s v="1c. Scaling - Gay"/>
    <s v="Paused"/>
    <n v="7754984"/>
    <s v="Video (Video)"/>
    <n v="0"/>
    <n v="79361"/>
    <n v="0.62057233187515504"/>
    <n v="2065.6265141499998"/>
    <n v="2.3842277629850299"/>
    <n v="2.6028231929411099E-2"/>
    <n v="31"/>
    <n v="66.633113359677395"/>
    <s v="null"/>
    <s v="Unlimited"/>
  </r>
  <r>
    <s v="CPA - Xvideos Hentai Footer - NativeVideo - Mobile - USAUCAUK"/>
    <x v="158"/>
    <s v="a99. Archived"/>
    <s v="Paused"/>
    <n v="7664876"/>
    <s v="Native Ad (Native Ads)"/>
    <n v="238921615"/>
    <n v="226511"/>
    <n v="9.9999999999999898E-3"/>
    <n v="2389.2161499999902"/>
    <n v="9.4805570437819106E-2"/>
    <n v="1.05479034130792E-2"/>
    <n v="31"/>
    <n v="77.071488709677396"/>
    <s v="null"/>
    <s v="Unlimited"/>
  </r>
  <r>
    <s v="Fixed CPM - Xvideos Anal - Video-IS - Mobile - T1"/>
    <x v="159"/>
    <s v="a99. Archived"/>
    <s v="Paused"/>
    <n v="7796802"/>
    <s v="Video (Video)"/>
    <n v="0"/>
    <n v="12002"/>
    <n v="1.7"/>
    <n v="4936.3375999999998"/>
    <n v="0.41333072519189101"/>
    <n v="0.41129291784702499"/>
    <n v="33"/>
    <n v="149.58598787878699"/>
    <s v="null"/>
    <n v="343"/>
  </r>
  <r>
    <s v="[Traffic Share - 10 %] - Fixed CPM - Xvideos Gay - Video-IS - Mobile - USA"/>
    <x v="160"/>
    <s v="a99. Archived"/>
    <s v="Paused"/>
    <n v="7765846"/>
    <s v="Video (Video)"/>
    <n v="0"/>
    <n v="9803"/>
    <n v="1.9000000000000501"/>
    <n v="3441.8101000001002"/>
    <n v="0.54116001344757503"/>
    <n v="0.35109763337754701"/>
    <n v="33"/>
    <n v="104.29727575757801"/>
    <s v="null"/>
    <n v="304"/>
  </r>
  <r>
    <s v="[Traffic Share - 85 %] - CPAreset - Xvideos Trans - Video - Mobile - CA"/>
    <x v="136"/>
    <s v="0. Fixed CPM - Trans"/>
    <s v="Running"/>
    <n v="7664864"/>
    <s v="Video (Video)"/>
    <n v="0"/>
    <n v="4866"/>
    <n v="2.44"/>
    <n v="2564.6839999999902"/>
    <n v="0.46294358291313797"/>
    <n v="0.52706206329634098"/>
    <n v="37"/>
    <n v="69.315783783783701"/>
    <s v="null"/>
    <n v="94"/>
  </r>
  <r>
    <s v="[Traffic Share - 50 %] - Fixed CPM - Xvideos Gay - Video-IS - Desktop- USA"/>
    <x v="161"/>
    <s v="a99. Archived"/>
    <s v="Paused"/>
    <n v="7765852"/>
    <s v="Video (Video)"/>
    <n v="0"/>
    <n v="9568"/>
    <n v="2.4900000000000002"/>
    <n v="4033.6680299999998"/>
    <n v="0.59063660724702705"/>
    <n v="0.42157901651337798"/>
    <n v="38"/>
    <n v="106.14915868420999"/>
    <s v="null"/>
    <n v="357"/>
  </r>
  <r>
    <s v="CPA - Gay - Video-IS Xvideos - Mobile - Aus"/>
    <x v="103"/>
    <s v="1c. Scaling - Gay"/>
    <s v="Running"/>
    <n v="7754982"/>
    <s v="Video (Video)"/>
    <n v="0"/>
    <n v="51847"/>
    <n v="0.70219216324328704"/>
    <n v="2283.0851294200002"/>
    <n v="1.5946210948745201"/>
    <n v="4.4035047918298001E-2"/>
    <n v="38"/>
    <n v="60.081187616315702"/>
    <s v="null"/>
    <s v="Unlimited"/>
  </r>
  <r>
    <s v="CPA - AI - Video-IS Xvideos - iOS - USA"/>
    <x v="162"/>
    <s v="a99. Archived"/>
    <s v="Paused"/>
    <n v="7718270"/>
    <s v="Video (Video)"/>
    <n v="0"/>
    <n v="8001"/>
    <n v="1.67494086039023"/>
    <n v="3851.1228477199902"/>
    <n v="0.347981675835562"/>
    <n v="0.48133018969128799"/>
    <n v="42"/>
    <n v="91.693401136190403"/>
    <s v="null"/>
    <s v="Unlimited"/>
  </r>
  <r>
    <s v="[Traffic Share - 90 %] - CPA - Xvideos Hentai In-Content - NativeVideo - Mobile - USAUCAUK"/>
    <x v="150"/>
    <s v="a99. Archived"/>
    <s v="Paused"/>
    <n v="7664878"/>
    <s v="Native Ad (Native Ads)"/>
    <n v="117236255"/>
    <n v="50788"/>
    <n v="0.04"/>
    <n v="4689.4502000000002"/>
    <n v="4.3321069919881001E-2"/>
    <n v="9.2333822950303193E-2"/>
    <n v="45"/>
    <n v="104.210004444444"/>
    <s v="null"/>
    <s v="Unlimited"/>
  </r>
  <r>
    <s v="[Traffic Share - 20 %] - CPA - Xvideos Japanese - Video-IS - Mobile - USA"/>
    <x v="153"/>
    <s v="a99. Archived"/>
    <s v="Paused"/>
    <n v="7627354"/>
    <s v="Video (Video)"/>
    <n v="0"/>
    <n v="13291"/>
    <n v="1.9770000000000001"/>
    <n v="3690.4224060000001"/>
    <n v="0.71201353420354196"/>
    <n v="0.27766326130464197"/>
    <n v="46"/>
    <n v="80.226574043478195"/>
    <s v="null"/>
    <n v="460"/>
  </r>
  <r>
    <s v="CPA - Xvideos MILF - Video-IS - Mobile - UK AU CA"/>
    <x v="163"/>
    <s v="a99. Archived"/>
    <s v="Paused"/>
    <n v="7627366"/>
    <s v="Video (Video)"/>
    <n v="0"/>
    <n v="9938"/>
    <n v="1.8009999999999999"/>
    <n v="3839.926508"/>
    <n v="0.46611147277717602"/>
    <n v="0.38638825799959697"/>
    <n v="47"/>
    <n v="81.700564"/>
    <s v="null"/>
    <n v="68"/>
  </r>
  <r>
    <s v="CPA - Category: Cartoons/Hentai - Video-IS Xvideos - Android Generic - USA"/>
    <x v="101"/>
    <s v="1e. Ocean"/>
    <s v="Running"/>
    <n v="7717876"/>
    <s v="Video (Video)"/>
    <n v="0"/>
    <n v="19395"/>
    <n v="1.4192428906075001"/>
    <n v="3904.4053157200001"/>
    <n v="0.70500405663587096"/>
    <n v="0.201309889957205"/>
    <n v="73"/>
    <n v="53.485004324931502"/>
    <s v="null"/>
    <s v="Unlimited"/>
  </r>
  <r>
    <s v="[Traffic Share - 80 %] - FixedCPM - xvideos general - NativeVideo - Mobile - T1"/>
    <x v="164"/>
    <s v="0. Fixed CPM - Headers"/>
    <s v="Running"/>
    <n v="7705340"/>
    <s v="Native Ad (Native Ads)"/>
    <n v="282674095"/>
    <n v="186028"/>
    <n v="5.2999999999999999E-2"/>
    <n v="14981.727035"/>
    <n v="6.5810062998521296E-2"/>
    <n v="8.0534796025329494E-2"/>
    <n v="79"/>
    <n v="189.642114367088"/>
    <s v="null"/>
    <n v="584"/>
  </r>
  <r>
    <s v="[Traffic Share - 50 %] - Fixed CPM - Hentai - Xvideos Hentai SBanner - Desktop - Tier1"/>
    <x v="161"/>
    <s v="0. Fixed CPM - Headers"/>
    <s v="Running"/>
    <n v="7752304"/>
    <s v="Banner - 300x250"/>
    <n v="52911112"/>
    <n v="117627"/>
    <n v="0.12999999999999901"/>
    <n v="6878.4445599999999"/>
    <n v="0.22231058005358101"/>
    <n v="5.8476749045712297E-2"/>
    <n v="84"/>
    <n v="81.886244761904706"/>
    <s v="null"/>
    <n v="102"/>
  </r>
  <r>
    <s v="CPA - Gay - Video-IS Xvideos - Mobile - Desktop - USA"/>
    <x v="103"/>
    <s v="1c. Scaling - Gay"/>
    <s v="Paused"/>
    <n v="7757658"/>
    <s v="Video (Video)"/>
    <n v="0"/>
    <n v="142412"/>
    <n v="0.50019790261848296"/>
    <n v="8843.0612451300003"/>
    <n v="0.805537604378044"/>
    <n v="6.2094916475648097E-2"/>
    <n v="105"/>
    <n v="84.219630906000006"/>
    <s v="null"/>
    <s v="Unlimited"/>
  </r>
  <r>
    <s v="[Traffic Share - 20 %] - CPA - Xvideos Blowjobs - Video-IS - Mobile - UK AU CA"/>
    <x v="153"/>
    <s v="0. Fixed CPM"/>
    <s v="Running"/>
    <n v="7627372"/>
    <s v="Video (Video)"/>
    <n v="0"/>
    <n v="34296"/>
    <n v="1.8009999999999999"/>
    <n v="13816.204007"/>
    <n v="0.44706270961767502"/>
    <n v="0.40285176134243"/>
    <n v="133"/>
    <n v="103.88123313533799"/>
    <s v="null"/>
    <n v="135"/>
  </r>
  <r>
    <s v="[Traffic Share - 15 %] - Fixed CPM - Xvideos Squirting - Video-IS - Mobile - T1"/>
    <x v="165"/>
    <s v="0. Fixed CPM"/>
    <s v="Running"/>
    <n v="7796798"/>
    <s v="Video (Video)"/>
    <n v="0"/>
    <n v="50000"/>
    <n v="1.7"/>
    <n v="20497.8554"/>
    <n v="0.41467752767930999"/>
    <n v="0.40995710800000001"/>
    <n v="156"/>
    <n v="131.396508974358"/>
    <s v="null"/>
    <n v="336"/>
  </r>
  <r>
    <s v="[Traffic Share - 25 %] - CPA - Xvideos Big Tits - Video-IS - Mobile - UK AU CA"/>
    <x v="166"/>
    <s v="0. Fixed CPM"/>
    <s v="Running"/>
    <n v="7627362"/>
    <s v="Video (Video)"/>
    <n v="0"/>
    <n v="42485"/>
    <n v="1.8009999999999999"/>
    <n v="15581.592833999999"/>
    <n v="0.49106330665398001"/>
    <n v="0.36675515673767201"/>
    <n v="175"/>
    <n v="89.037673337142806"/>
    <s v="null"/>
    <n v="155"/>
  </r>
  <r>
    <s v="[Traffic Share - 40 %] - Fixed CPM - Xvideos Voyeur - Video-IS - Mobile - T1"/>
    <x v="167"/>
    <s v="0. Fixed CPM"/>
    <s v="Running"/>
    <n v="7796804"/>
    <s v="Video (Video)"/>
    <n v="0"/>
    <n v="50900"/>
    <n v="1.7"/>
    <n v="21135.418300000001"/>
    <n v="0.40940755830699499"/>
    <n v="0.41523415127701302"/>
    <n v="210"/>
    <n v="100.644849047619"/>
    <s v="null"/>
    <n v="368"/>
  </r>
  <r>
    <s v="[Traffic Share - 25 %] - CPA - Xvideos MILF - Video-IS - Mobile - USA"/>
    <x v="166"/>
    <s v="a99. Archived"/>
    <s v="Paused"/>
    <n v="7627364"/>
    <s v="Video (Video)"/>
    <n v="0"/>
    <n v="56067"/>
    <n v="1.9770000000000101"/>
    <n v="21167.3515080002"/>
    <n v="0.52365766665757496"/>
    <n v="0.377536724062286"/>
    <n v="215"/>
    <n v="98.452797711628804"/>
    <s v="null"/>
    <n v="378"/>
  </r>
  <r>
    <s v="[Traffic Share - 15 %] - Fixed CPM - Xvideos Hentai - Video-IS - Mobile - T1"/>
    <x v="165"/>
    <s v="0. Fixed CPM"/>
    <s v="Running"/>
    <n v="7796810"/>
    <s v="Video (Video)"/>
    <n v="0"/>
    <n v="80450"/>
    <n v="1.7909999999999799"/>
    <n v="22436.079083999801"/>
    <n v="0.64220646335104503"/>
    <n v="0.278882275748909"/>
    <n v="311"/>
    <n v="72.1417333890668"/>
    <s v="null"/>
    <n v="429"/>
  </r>
  <r>
    <s v="[Traffic Share - 12 %] - CPAreset - Xvideos Trans - Video - Mobile - USA"/>
    <x v="168"/>
    <s v="0. Fixed CPM - Trans"/>
    <s v="Running"/>
    <n v="7664860"/>
    <s v="Video (Video)"/>
    <n v="0"/>
    <n v="86326"/>
    <n v="2.3810000000000202"/>
    <n v="31850.282231000299"/>
    <n v="0.64533872732827702"/>
    <n v="0.36895352768575201"/>
    <n v="359"/>
    <n v="88.719449111421397"/>
    <s v="null"/>
    <n v="282"/>
  </r>
  <r>
    <s v="CPA - Gay - Video-IS Xvideos - Mobile - USA"/>
    <x v="103"/>
    <s v="1c. Scaling - Gay"/>
    <s v="Running"/>
    <n v="7753722"/>
    <s v="Video (Video)"/>
    <n v="0"/>
    <n v="483897"/>
    <n v="0.69326941298560496"/>
    <n v="27718.026601649999"/>
    <n v="1.21029896520672"/>
    <n v="5.7280839934221499E-2"/>
    <n v="483"/>
    <n v="57.387218636956497"/>
    <s v="null"/>
    <s v="Unlimited"/>
  </r>
  <r>
    <s v="[Traffic Share - 25 %] - CPA - Xvideos Blowjobs - Video-IS - Mobile - USA"/>
    <x v="166"/>
    <s v="a99. Archived"/>
    <s v="Paused"/>
    <n v="7627370"/>
    <s v="Video (Video)"/>
    <n v="0"/>
    <n v="185570"/>
    <n v="1.9770000000000201"/>
    <n v="65986.963617000903"/>
    <n v="0.55597631697283301"/>
    <n v="0.35559068608611699"/>
    <n v="758"/>
    <n v="87.054041711082903"/>
    <s v="null"/>
    <n v="1114"/>
  </r>
  <r>
    <s v="[Traffic Share - 30 %] - CPA - Xvideos Big Tits - Video-IS - Mobile - USA"/>
    <x v="169"/>
    <s v="0. Fixed CPM"/>
    <s v="Paused"/>
    <n v="7627360"/>
    <s v="Video (Video)"/>
    <n v="0"/>
    <n v="286050"/>
    <n v="1.9770000000000201"/>
    <n v="101787.972252001"/>
    <n v="0.55558710669657496"/>
    <n v="0.35583979112743003"/>
    <n v="1190"/>
    <n v="85.536111136135602"/>
    <s v="null"/>
    <n v="1094"/>
  </r>
  <r>
    <m/>
    <x v="170"/>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44ACA-D748-CA49-9A99-150FADDDBC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4" firstHeaderRow="0" firstDataRow="1" firstDataCol="1"/>
  <pivotFields count="16">
    <pivotField showAll="0"/>
    <pivotField axis="axisRow" showAll="0" sortType="descending">
      <items count="172">
        <item h="1" x="160"/>
        <item h="1" x="168"/>
        <item h="1" x="165"/>
        <item h="1" x="153"/>
        <item h="1" x="166"/>
        <item h="1" x="169"/>
        <item h="1" x="167"/>
        <item h="1" x="161"/>
        <item h="1" x="164"/>
        <item h="1" x="136"/>
        <item h="1" x="150"/>
        <item x="58"/>
        <item x="119"/>
        <item x="162"/>
        <item x="37"/>
        <item x="35"/>
        <item x="51"/>
        <item x="132"/>
        <item x="14"/>
        <item x="90"/>
        <item x="1"/>
        <item x="108"/>
        <item x="29"/>
        <item x="61"/>
        <item x="49"/>
        <item x="140"/>
        <item x="145"/>
        <item x="5"/>
        <item x="135"/>
        <item x="101"/>
        <item x="134"/>
        <item x="6"/>
        <item x="20"/>
        <item x="100"/>
        <item x="12"/>
        <item x="129"/>
        <item x="126"/>
        <item x="133"/>
        <item x="106"/>
        <item x="117"/>
        <item x="85"/>
        <item x="95"/>
        <item x="128"/>
        <item x="15"/>
        <item x="7"/>
        <item x="47"/>
        <item x="154"/>
        <item x="54"/>
        <item x="156"/>
        <item x="59"/>
        <item x="2"/>
        <item x="39"/>
        <item x="48"/>
        <item x="124"/>
        <item x="16"/>
        <item x="22"/>
        <item x="83"/>
        <item x="45"/>
        <item x="138"/>
        <item x="144"/>
        <item x="148"/>
        <item x="109"/>
        <item x="86"/>
        <item x="94"/>
        <item x="131"/>
        <item x="74"/>
        <item x="91"/>
        <item x="65"/>
        <item x="103"/>
        <item x="102"/>
        <item x="75"/>
        <item x="44"/>
        <item x="64"/>
        <item x="68"/>
        <item x="146"/>
        <item x="4"/>
        <item x="10"/>
        <item x="69"/>
        <item x="139"/>
        <item x="143"/>
        <item x="73"/>
        <item x="147"/>
        <item x="27"/>
        <item x="127"/>
        <item x="78"/>
        <item x="57"/>
        <item x="114"/>
        <item x="72"/>
        <item x="152"/>
        <item x="8"/>
        <item x="25"/>
        <item x="113"/>
        <item x="118"/>
        <item x="55"/>
        <item x="38"/>
        <item x="98"/>
        <item x="41"/>
        <item x="92"/>
        <item x="111"/>
        <item x="121"/>
        <item x="43"/>
        <item x="13"/>
        <item x="110"/>
        <item x="155"/>
        <item x="21"/>
        <item x="130"/>
        <item x="31"/>
        <item x="30"/>
        <item x="23"/>
        <item x="36"/>
        <item x="88"/>
        <item x="116"/>
        <item x="151"/>
        <item x="28"/>
        <item x="82"/>
        <item x="99"/>
        <item x="142"/>
        <item x="93"/>
        <item x="46"/>
        <item x="18"/>
        <item x="9"/>
        <item x="137"/>
        <item x="53"/>
        <item x="149"/>
        <item x="87"/>
        <item x="52"/>
        <item x="42"/>
        <item x="11"/>
        <item x="112"/>
        <item x="0"/>
        <item x="76"/>
        <item x="24"/>
        <item x="80"/>
        <item x="97"/>
        <item x="62"/>
        <item x="79"/>
        <item x="60"/>
        <item x="40"/>
        <item x="115"/>
        <item x="67"/>
        <item x="3"/>
        <item x="125"/>
        <item x="17"/>
        <item x="70"/>
        <item x="141"/>
        <item x="120"/>
        <item x="34"/>
        <item x="81"/>
        <item x="89"/>
        <item x="77"/>
        <item x="84"/>
        <item x="19"/>
        <item x="56"/>
        <item x="105"/>
        <item x="66"/>
        <item x="123"/>
        <item x="107"/>
        <item x="71"/>
        <item x="33"/>
        <item x="63"/>
        <item x="96"/>
        <item x="50"/>
        <item x="122"/>
        <item x="104"/>
        <item x="159"/>
        <item x="157"/>
        <item x="158"/>
        <item x="163"/>
        <item x="26"/>
        <item x="32"/>
        <item x="17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s>
  <rowFields count="1">
    <field x="1"/>
  </rowFields>
  <rowItems count="161">
    <i>
      <x v="68"/>
    </i>
    <i>
      <x v="29"/>
    </i>
    <i>
      <x v="164"/>
    </i>
    <i>
      <x v="140"/>
    </i>
    <i>
      <x v="13"/>
    </i>
    <i>
      <x v="167"/>
    </i>
    <i>
      <x v="101"/>
    </i>
    <i>
      <x v="151"/>
    </i>
    <i>
      <x v="43"/>
    </i>
    <i>
      <x v="119"/>
    </i>
    <i>
      <x v="165"/>
    </i>
    <i>
      <x v="32"/>
    </i>
    <i>
      <x v="166"/>
    </i>
    <i>
      <x v="34"/>
    </i>
    <i>
      <x v="50"/>
    </i>
    <i>
      <x v="76"/>
    </i>
    <i>
      <x v="75"/>
    </i>
    <i>
      <x v="27"/>
    </i>
    <i>
      <x v="142"/>
    </i>
    <i>
      <x v="89"/>
    </i>
    <i>
      <x v="18"/>
    </i>
    <i>
      <x v="31"/>
    </i>
    <i>
      <x v="127"/>
    </i>
    <i>
      <x v="44"/>
    </i>
    <i>
      <x v="48"/>
    </i>
    <i>
      <x v="20"/>
    </i>
    <i>
      <x v="120"/>
    </i>
    <i>
      <x v="103"/>
    </i>
    <i>
      <x v="54"/>
    </i>
    <i>
      <x v="46"/>
    </i>
    <i>
      <x v="88"/>
    </i>
    <i>
      <x v="79"/>
    </i>
    <i>
      <x v="112"/>
    </i>
    <i>
      <x v="26"/>
    </i>
    <i>
      <x v="123"/>
    </i>
    <i>
      <x v="35"/>
    </i>
    <i>
      <x v="25"/>
    </i>
    <i>
      <x v="59"/>
    </i>
    <i>
      <x v="81"/>
    </i>
    <i>
      <x v="53"/>
    </i>
    <i>
      <x v="60"/>
    </i>
    <i>
      <x v="116"/>
    </i>
    <i>
      <x v="42"/>
    </i>
    <i>
      <x v="17"/>
    </i>
    <i>
      <x v="58"/>
    </i>
    <i>
      <x v="162"/>
    </i>
    <i>
      <x v="78"/>
    </i>
    <i>
      <x v="30"/>
    </i>
    <i>
      <x v="28"/>
    </i>
    <i>
      <x v="144"/>
    </i>
    <i>
      <x v="83"/>
    </i>
    <i>
      <x v="21"/>
    </i>
    <i>
      <x v="74"/>
    </i>
    <i>
      <x v="37"/>
    </i>
    <i>
      <x v="33"/>
    </i>
    <i>
      <x v="105"/>
    </i>
    <i>
      <x v="64"/>
    </i>
    <i>
      <x v="128"/>
    </i>
    <i>
      <x v="56"/>
    </i>
    <i>
      <x v="14"/>
    </i>
    <i>
      <x v="155"/>
    </i>
    <i>
      <x v="51"/>
    </i>
    <i>
      <x v="153"/>
    </i>
    <i>
      <x v="98"/>
    </i>
    <i>
      <x v="91"/>
    </i>
    <i>
      <x v="102"/>
    </i>
    <i>
      <x v="156"/>
    </i>
    <i>
      <x v="117"/>
    </i>
    <i>
      <x v="93"/>
    </i>
    <i>
      <x v="65"/>
    </i>
    <i>
      <x v="138"/>
    </i>
    <i>
      <x v="80"/>
    </i>
    <i>
      <x v="163"/>
    </i>
    <i>
      <x v="100"/>
    </i>
    <i>
      <x v="66"/>
    </i>
    <i>
      <x v="114"/>
    </i>
    <i>
      <x v="161"/>
    </i>
    <i>
      <x v="39"/>
    </i>
    <i>
      <x v="107"/>
    </i>
    <i>
      <x v="47"/>
    </i>
    <i>
      <x v="141"/>
    </i>
    <i>
      <x v="38"/>
    </i>
    <i>
      <x v="124"/>
    </i>
    <i>
      <x v="90"/>
    </i>
    <i>
      <x v="147"/>
    </i>
    <i>
      <x v="62"/>
    </i>
    <i>
      <x v="149"/>
    </i>
    <i>
      <x v="22"/>
    </i>
    <i>
      <x v="52"/>
    </i>
    <i>
      <x v="57"/>
    </i>
    <i>
      <x v="45"/>
    </i>
    <i>
      <x v="23"/>
    </i>
    <i>
      <x v="150"/>
    </i>
    <i>
      <x v="131"/>
    </i>
    <i>
      <x v="97"/>
    </i>
    <i>
      <x v="139"/>
    </i>
    <i>
      <x v="136"/>
    </i>
    <i>
      <x v="16"/>
    </i>
    <i>
      <x v="99"/>
    </i>
    <i>
      <x v="104"/>
    </i>
    <i>
      <x v="121"/>
    </i>
    <i>
      <x v="111"/>
    </i>
    <i>
      <x v="71"/>
    </i>
    <i>
      <x v="135"/>
    </i>
    <i>
      <x v="96"/>
    </i>
    <i>
      <x v="109"/>
    </i>
    <i>
      <x v="95"/>
    </i>
    <i>
      <x v="15"/>
    </i>
    <i>
      <x v="159"/>
    </i>
    <i>
      <x v="86"/>
    </i>
    <i>
      <x v="40"/>
    </i>
    <i>
      <x v="55"/>
    </i>
    <i>
      <x v="36"/>
    </i>
    <i>
      <x v="85"/>
    </i>
    <i>
      <x v="130"/>
    </i>
    <i>
      <x v="125"/>
    </i>
    <i>
      <x v="137"/>
    </i>
    <i>
      <x v="12"/>
    </i>
    <i>
      <x v="19"/>
    </i>
    <i>
      <x v="132"/>
    </i>
    <i>
      <x v="87"/>
    </i>
    <i>
      <x v="148"/>
    </i>
    <i>
      <x v="61"/>
    </i>
    <i>
      <x v="67"/>
    </i>
    <i>
      <x v="122"/>
    </i>
    <i>
      <x v="70"/>
    </i>
    <i>
      <x v="84"/>
    </i>
    <i>
      <x v="157"/>
    </i>
    <i>
      <x v="146"/>
    </i>
    <i>
      <x v="92"/>
    </i>
    <i>
      <x v="143"/>
    </i>
    <i>
      <x v="77"/>
    </i>
    <i>
      <x v="106"/>
    </i>
    <i>
      <x v="110"/>
    </i>
    <i>
      <x v="145"/>
    </i>
    <i>
      <x v="73"/>
    </i>
    <i>
      <x v="118"/>
    </i>
    <i>
      <x v="115"/>
    </i>
    <i>
      <x v="41"/>
    </i>
    <i>
      <x v="129"/>
    </i>
    <i>
      <x v="152"/>
    </i>
    <i>
      <x v="133"/>
    </i>
    <i>
      <x v="126"/>
    </i>
    <i>
      <x v="63"/>
    </i>
    <i>
      <x v="24"/>
    </i>
    <i>
      <x v="72"/>
    </i>
    <i>
      <x v="134"/>
    </i>
    <i>
      <x v="158"/>
    </i>
    <i>
      <x v="82"/>
    </i>
    <i>
      <x v="49"/>
    </i>
    <i>
      <x v="108"/>
    </i>
    <i>
      <x v="169"/>
    </i>
    <i>
      <x v="11"/>
    </i>
    <i>
      <x v="94"/>
    </i>
    <i>
      <x v="113"/>
    </i>
    <i>
      <x v="168"/>
    </i>
    <i>
      <x v="154"/>
    </i>
    <i>
      <x v="160"/>
    </i>
    <i>
      <x v="170"/>
    </i>
    <i>
      <x v="69"/>
    </i>
    <i t="grand">
      <x/>
    </i>
  </rowItems>
  <colFields count="1">
    <field x="-2"/>
  </colFields>
  <colItems count="2">
    <i>
      <x/>
    </i>
    <i i="1">
      <x v="1"/>
    </i>
  </colItems>
  <dataFields count="2">
    <dataField name="Sum of Cost" fld="9" baseField="0" baseItem="0"/>
    <dataField name="Conv" fld="12" baseField="0" baseItem="0"/>
  </dataFields>
  <formats count="2">
    <format dxfId="1">
      <pivotArea outline="0" collapsedLevelsAreSubtotals="1" fieldPosition="0"/>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CE9B-721B-5447-BE77-5841434C930E}">
  <dimension ref="A1:P431"/>
  <sheetViews>
    <sheetView workbookViewId="0">
      <selection activeCell="P7" sqref="P7"/>
    </sheetView>
  </sheetViews>
  <sheetFormatPr baseColWidth="10" defaultRowHeight="16" x14ac:dyDescent="0.2"/>
  <cols>
    <col min="6" max="6" width="19.1640625" bestFit="1" customWidth="1"/>
  </cols>
  <sheetData>
    <row r="1" spans="1:16" x14ac:dyDescent="0.2">
      <c r="A1" t="s">
        <v>0</v>
      </c>
      <c r="B1" t="s">
        <v>466</v>
      </c>
      <c r="C1" t="s">
        <v>1</v>
      </c>
      <c r="D1" t="s">
        <v>2</v>
      </c>
      <c r="E1" t="s">
        <v>3</v>
      </c>
      <c r="F1" t="s">
        <v>4</v>
      </c>
      <c r="G1" t="s">
        <v>5</v>
      </c>
      <c r="H1" t="s">
        <v>6</v>
      </c>
      <c r="I1" t="s">
        <v>7</v>
      </c>
      <c r="J1" t="s">
        <v>8</v>
      </c>
      <c r="K1" t="s">
        <v>9</v>
      </c>
      <c r="L1" t="s">
        <v>10</v>
      </c>
      <c r="M1" t="s">
        <v>11</v>
      </c>
      <c r="N1" t="s">
        <v>12</v>
      </c>
      <c r="O1" t="s">
        <v>13</v>
      </c>
      <c r="P1" t="s">
        <v>14</v>
      </c>
    </row>
    <row r="2" spans="1:16" x14ac:dyDescent="0.2">
      <c r="A2" t="s">
        <v>15</v>
      </c>
      <c r="B2" t="str" cm="1">
        <f t="array" ref="B2">INDEX(_xlfn.TEXTSPLIT(A2," - "),2)</f>
        <v>RT TEST</v>
      </c>
      <c r="C2" t="s">
        <v>16</v>
      </c>
      <c r="D2" t="s">
        <v>17</v>
      </c>
      <c r="E2">
        <v>7958994</v>
      </c>
      <c r="F2" t="s">
        <v>18</v>
      </c>
      <c r="G2">
        <v>0</v>
      </c>
      <c r="H2">
        <v>51</v>
      </c>
      <c r="I2">
        <v>0.89318284577922002</v>
      </c>
      <c r="J2">
        <v>5.5020063300000004</v>
      </c>
      <c r="K2">
        <v>0.82792207792207695</v>
      </c>
      <c r="L2">
        <v>0.10788247705882301</v>
      </c>
      <c r="M2">
        <v>0</v>
      </c>
      <c r="N2" t="s">
        <v>19</v>
      </c>
      <c r="O2" t="s">
        <v>20</v>
      </c>
      <c r="P2" t="s">
        <v>21</v>
      </c>
    </row>
    <row r="3" spans="1:16" x14ac:dyDescent="0.2">
      <c r="A3" t="s">
        <v>31</v>
      </c>
      <c r="B3" t="str" cm="1">
        <f t="array" ref="B3">INDEX(_xlfn.TEXTSPLIT(A3," - "),2)</f>
        <v>bdsm</v>
      </c>
      <c r="C3" t="s">
        <v>23</v>
      </c>
      <c r="D3" t="s">
        <v>24</v>
      </c>
      <c r="E3">
        <v>7791688</v>
      </c>
      <c r="F3" t="s">
        <v>18</v>
      </c>
      <c r="G3">
        <v>0</v>
      </c>
      <c r="H3">
        <v>3564</v>
      </c>
      <c r="I3">
        <v>0.51149705297501302</v>
      </c>
      <c r="J3">
        <v>320.91785450999998</v>
      </c>
      <c r="K3">
        <v>0.56805050612917496</v>
      </c>
      <c r="L3">
        <v>9.0044291388888795E-2</v>
      </c>
      <c r="M3">
        <v>0</v>
      </c>
      <c r="N3" t="s">
        <v>19</v>
      </c>
      <c r="O3" t="s">
        <v>20</v>
      </c>
      <c r="P3" t="s">
        <v>21</v>
      </c>
    </row>
    <row r="4" spans="1:16" x14ac:dyDescent="0.2">
      <c r="A4" t="s">
        <v>36</v>
      </c>
      <c r="B4" t="str" cm="1">
        <f t="array" ref="B4">INDEX(_xlfn.TEXTSPLIT(A4," - "),2)</f>
        <v>bdsm</v>
      </c>
      <c r="C4" t="s">
        <v>23</v>
      </c>
      <c r="D4" t="s">
        <v>24</v>
      </c>
      <c r="E4">
        <v>7791640</v>
      </c>
      <c r="F4" t="s">
        <v>18</v>
      </c>
      <c r="G4">
        <v>0</v>
      </c>
      <c r="H4">
        <v>118</v>
      </c>
      <c r="I4">
        <v>1</v>
      </c>
      <c r="J4">
        <v>61.640999999999998</v>
      </c>
      <c r="K4">
        <v>0.19143102804951201</v>
      </c>
      <c r="L4">
        <v>0.52238135593220303</v>
      </c>
      <c r="M4">
        <v>0</v>
      </c>
      <c r="N4" t="s">
        <v>19</v>
      </c>
      <c r="O4" t="s">
        <v>20</v>
      </c>
      <c r="P4" t="s">
        <v>21</v>
      </c>
    </row>
    <row r="5" spans="1:16" x14ac:dyDescent="0.2">
      <c r="A5" t="s">
        <v>37</v>
      </c>
      <c r="B5" t="str" cm="1">
        <f t="array" ref="B5">INDEX(_xlfn.TEXTSPLIT(A5," - "),2)</f>
        <v>Disney</v>
      </c>
      <c r="C5" t="s">
        <v>33</v>
      </c>
      <c r="D5" t="s">
        <v>17</v>
      </c>
      <c r="E5">
        <v>7791500</v>
      </c>
      <c r="F5" t="s">
        <v>18</v>
      </c>
      <c r="G5">
        <v>0</v>
      </c>
      <c r="H5">
        <v>710</v>
      </c>
      <c r="I5">
        <v>0.39931735636975602</v>
      </c>
      <c r="J5">
        <v>25.862587220000002</v>
      </c>
      <c r="K5">
        <v>1.09623728133154</v>
      </c>
      <c r="L5">
        <v>3.6426179183098498E-2</v>
      </c>
      <c r="M5">
        <v>0</v>
      </c>
      <c r="N5" t="s">
        <v>19</v>
      </c>
      <c r="O5" t="s">
        <v>20</v>
      </c>
      <c r="P5" t="s">
        <v>21</v>
      </c>
    </row>
    <row r="6" spans="1:16" x14ac:dyDescent="0.2">
      <c r="A6" t="s">
        <v>40</v>
      </c>
      <c r="B6" t="str" cm="1">
        <f t="array" ref="B6">INDEX(_xlfn.TEXTSPLIT(A6," - "),2)</f>
        <v>Disney</v>
      </c>
      <c r="C6" t="s">
        <v>23</v>
      </c>
      <c r="D6" t="s">
        <v>24</v>
      </c>
      <c r="E6">
        <v>7791474</v>
      </c>
      <c r="F6" t="s">
        <v>18</v>
      </c>
      <c r="G6">
        <v>0</v>
      </c>
      <c r="H6">
        <v>320</v>
      </c>
      <c r="I6">
        <v>1</v>
      </c>
      <c r="J6">
        <v>73.878</v>
      </c>
      <c r="K6">
        <v>0.43314653888843702</v>
      </c>
      <c r="L6">
        <v>0.23086875000000001</v>
      </c>
      <c r="M6">
        <v>0</v>
      </c>
      <c r="N6" t="s">
        <v>19</v>
      </c>
      <c r="O6" t="s">
        <v>20</v>
      </c>
      <c r="P6" t="s">
        <v>21</v>
      </c>
    </row>
    <row r="7" spans="1:16" x14ac:dyDescent="0.2">
      <c r="A7" t="s">
        <v>43</v>
      </c>
      <c r="B7" t="str" cm="1">
        <f t="array" ref="B7">INDEX(_xlfn.TEXTSPLIT(A7," - "),2)</f>
        <v>Disney</v>
      </c>
      <c r="C7" t="s">
        <v>23</v>
      </c>
      <c r="D7" t="s">
        <v>24</v>
      </c>
      <c r="E7">
        <v>7791454</v>
      </c>
      <c r="F7" t="s">
        <v>18</v>
      </c>
      <c r="G7">
        <v>0</v>
      </c>
      <c r="H7">
        <v>250</v>
      </c>
      <c r="I7">
        <v>1</v>
      </c>
      <c r="J7">
        <v>109.26600000000001</v>
      </c>
      <c r="K7">
        <v>0.22879944355975301</v>
      </c>
      <c r="L7">
        <v>0.43706400000000001</v>
      </c>
      <c r="M7">
        <v>0</v>
      </c>
      <c r="N7" t="s">
        <v>19</v>
      </c>
      <c r="O7" t="s">
        <v>20</v>
      </c>
      <c r="P7" t="s">
        <v>21</v>
      </c>
    </row>
    <row r="8" spans="1:16" x14ac:dyDescent="0.2">
      <c r="A8" t="s">
        <v>44</v>
      </c>
      <c r="B8" t="str" cm="1">
        <f t="array" ref="B8">INDEX(_xlfn.TEXTSPLIT(A8," - "),2)</f>
        <v>squirt</v>
      </c>
      <c r="C8" t="s">
        <v>23</v>
      </c>
      <c r="D8" t="s">
        <v>24</v>
      </c>
      <c r="E8">
        <v>7791440</v>
      </c>
      <c r="F8" t="s">
        <v>18</v>
      </c>
      <c r="G8">
        <v>0</v>
      </c>
      <c r="H8">
        <v>3303</v>
      </c>
      <c r="I8">
        <v>0.49228597896564003</v>
      </c>
      <c r="J8">
        <v>144.63608205</v>
      </c>
      <c r="K8">
        <v>1.1242150405881399</v>
      </c>
      <c r="L8">
        <v>4.3789307311534902E-2</v>
      </c>
      <c r="M8">
        <v>0</v>
      </c>
      <c r="N8" t="s">
        <v>19</v>
      </c>
      <c r="O8" t="s">
        <v>20</v>
      </c>
      <c r="P8" t="s">
        <v>21</v>
      </c>
    </row>
    <row r="9" spans="1:16" x14ac:dyDescent="0.2">
      <c r="A9" t="s">
        <v>47</v>
      </c>
      <c r="B9" t="str" cm="1">
        <f t="array" ref="B9">INDEX(_xlfn.TEXTSPLIT(A9," - "),2)</f>
        <v>squirt</v>
      </c>
      <c r="C9" t="s">
        <v>33</v>
      </c>
      <c r="D9" t="s">
        <v>17</v>
      </c>
      <c r="E9">
        <v>7791418</v>
      </c>
      <c r="F9" t="s">
        <v>18</v>
      </c>
      <c r="G9">
        <v>0</v>
      </c>
      <c r="H9">
        <v>9</v>
      </c>
      <c r="I9">
        <v>0.999999999999999</v>
      </c>
      <c r="J9">
        <v>2.95399999999999</v>
      </c>
      <c r="K9">
        <v>0.30467163168584899</v>
      </c>
      <c r="L9">
        <v>0.32822222222222203</v>
      </c>
      <c r="M9">
        <v>0</v>
      </c>
      <c r="N9" t="s">
        <v>19</v>
      </c>
      <c r="O9" t="s">
        <v>20</v>
      </c>
      <c r="P9" t="s">
        <v>21</v>
      </c>
    </row>
    <row r="10" spans="1:16" x14ac:dyDescent="0.2">
      <c r="A10" t="s">
        <v>52</v>
      </c>
      <c r="B10" t="str" cm="1">
        <f t="array" ref="B10">INDEX(_xlfn.TEXTSPLIT(A10," - "),2)</f>
        <v>hairy</v>
      </c>
      <c r="C10" t="s">
        <v>23</v>
      </c>
      <c r="D10" t="s">
        <v>24</v>
      </c>
      <c r="E10">
        <v>7791308</v>
      </c>
      <c r="F10" t="s">
        <v>18</v>
      </c>
      <c r="G10">
        <v>0</v>
      </c>
      <c r="H10">
        <v>8824</v>
      </c>
      <c r="I10">
        <v>0.48581268080220402</v>
      </c>
      <c r="J10">
        <v>708.28233915999999</v>
      </c>
      <c r="K10">
        <v>0.60524043285939699</v>
      </c>
      <c r="L10">
        <v>8.0267717493200302E-2</v>
      </c>
      <c r="M10">
        <v>0</v>
      </c>
      <c r="N10" t="s">
        <v>19</v>
      </c>
      <c r="O10" t="s">
        <v>20</v>
      </c>
      <c r="P10" t="s">
        <v>21</v>
      </c>
    </row>
    <row r="11" spans="1:16" x14ac:dyDescent="0.2">
      <c r="A11" t="s">
        <v>53</v>
      </c>
      <c r="B11" t="str" cm="1">
        <f t="array" ref="B11">INDEX(_xlfn.TEXTSPLIT(A11," - "),2)</f>
        <v>hairy</v>
      </c>
      <c r="C11" t="s">
        <v>23</v>
      </c>
      <c r="D11" t="s">
        <v>24</v>
      </c>
      <c r="E11">
        <v>7791302</v>
      </c>
      <c r="F11" t="s">
        <v>18</v>
      </c>
      <c r="G11">
        <v>0</v>
      </c>
      <c r="H11">
        <v>606</v>
      </c>
      <c r="I11">
        <v>0.44137586250984101</v>
      </c>
      <c r="J11">
        <v>61.103633029999997</v>
      </c>
      <c r="K11">
        <v>0.437737920672642</v>
      </c>
      <c r="L11">
        <v>0.10083107760726</v>
      </c>
      <c r="M11">
        <v>0</v>
      </c>
      <c r="N11" t="s">
        <v>19</v>
      </c>
      <c r="O11" t="s">
        <v>20</v>
      </c>
      <c r="P11" t="s">
        <v>21</v>
      </c>
    </row>
    <row r="12" spans="1:16" x14ac:dyDescent="0.2">
      <c r="A12" t="s">
        <v>56</v>
      </c>
      <c r="B12" t="str" cm="1">
        <f t="array" ref="B12">INDEX(_xlfn.TEXTSPLIT(A12," - "),2)</f>
        <v>hairy</v>
      </c>
      <c r="C12" t="s">
        <v>33</v>
      </c>
      <c r="D12" t="s">
        <v>17</v>
      </c>
      <c r="E12">
        <v>7791274</v>
      </c>
      <c r="F12" t="s">
        <v>18</v>
      </c>
      <c r="G12">
        <v>0</v>
      </c>
      <c r="H12">
        <v>70</v>
      </c>
      <c r="I12">
        <v>1</v>
      </c>
      <c r="J12">
        <v>31.225000000000001</v>
      </c>
      <c r="K12">
        <v>0.224179343474779</v>
      </c>
      <c r="L12">
        <v>0.44607142857142801</v>
      </c>
      <c r="M12">
        <v>0</v>
      </c>
      <c r="N12" t="s">
        <v>19</v>
      </c>
      <c r="O12" t="s">
        <v>20</v>
      </c>
      <c r="P12" t="s">
        <v>21</v>
      </c>
    </row>
    <row r="13" spans="1:16" x14ac:dyDescent="0.2">
      <c r="A13" t="s">
        <v>59</v>
      </c>
      <c r="B13" t="str" cm="1">
        <f t="array" ref="B13">INDEX(_xlfn.TEXTSPLIT(A13," - "),2)</f>
        <v>Category: Asian</v>
      </c>
      <c r="C13" t="s">
        <v>23</v>
      </c>
      <c r="D13" t="s">
        <v>24</v>
      </c>
      <c r="E13">
        <v>7791246</v>
      </c>
      <c r="F13" t="s">
        <v>18</v>
      </c>
      <c r="G13">
        <v>0</v>
      </c>
      <c r="H13">
        <v>3024</v>
      </c>
      <c r="I13">
        <v>0.53837279971872398</v>
      </c>
      <c r="J13">
        <v>130.92042068999999</v>
      </c>
      <c r="K13">
        <v>1.2435335433304</v>
      </c>
      <c r="L13">
        <v>4.3293789910714198E-2</v>
      </c>
      <c r="M13">
        <v>0</v>
      </c>
      <c r="N13" t="s">
        <v>19</v>
      </c>
      <c r="O13" t="s">
        <v>20</v>
      </c>
      <c r="P13" t="s">
        <v>21</v>
      </c>
    </row>
    <row r="14" spans="1:16" x14ac:dyDescent="0.2">
      <c r="A14" t="s">
        <v>61</v>
      </c>
      <c r="B14" t="str" cm="1">
        <f t="array" ref="B14">INDEX(_xlfn.TEXTSPLIT(A14," - "),2)</f>
        <v>Category: Asian</v>
      </c>
      <c r="C14" t="s">
        <v>23</v>
      </c>
      <c r="D14" t="s">
        <v>24</v>
      </c>
      <c r="E14">
        <v>7791238</v>
      </c>
      <c r="F14" t="s">
        <v>18</v>
      </c>
      <c r="G14">
        <v>0</v>
      </c>
      <c r="H14">
        <v>1201</v>
      </c>
      <c r="I14">
        <v>0.35255222333703701</v>
      </c>
      <c r="J14">
        <v>85.034186059999996</v>
      </c>
      <c r="K14">
        <v>0.49793528914244001</v>
      </c>
      <c r="L14">
        <v>7.0802819367194E-2</v>
      </c>
      <c r="M14">
        <v>0</v>
      </c>
      <c r="N14" t="s">
        <v>19</v>
      </c>
      <c r="O14" t="s">
        <v>20</v>
      </c>
      <c r="P14" t="s">
        <v>21</v>
      </c>
    </row>
    <row r="15" spans="1:16" x14ac:dyDescent="0.2">
      <c r="A15" t="s">
        <v>63</v>
      </c>
      <c r="B15" t="str" cm="1">
        <f t="array" ref="B15">INDEX(_xlfn.TEXTSPLIT(A15," - "),2)</f>
        <v>Category: Asian</v>
      </c>
      <c r="C15" t="s">
        <v>23</v>
      </c>
      <c r="D15" t="s">
        <v>24</v>
      </c>
      <c r="E15">
        <v>7791220</v>
      </c>
      <c r="F15" t="s">
        <v>18</v>
      </c>
      <c r="G15">
        <v>0</v>
      </c>
      <c r="H15">
        <v>710</v>
      </c>
      <c r="I15">
        <v>1</v>
      </c>
      <c r="J15">
        <v>152.655</v>
      </c>
      <c r="K15">
        <v>0.46510104483967102</v>
      </c>
      <c r="L15">
        <v>0.21500704225352099</v>
      </c>
      <c r="M15">
        <v>0</v>
      </c>
      <c r="N15" t="s">
        <v>19</v>
      </c>
      <c r="O15" t="s">
        <v>20</v>
      </c>
      <c r="P15" t="s">
        <v>21</v>
      </c>
    </row>
    <row r="16" spans="1:16" x14ac:dyDescent="0.2">
      <c r="A16" t="s">
        <v>64</v>
      </c>
      <c r="B16" t="str" cm="1">
        <f t="array" ref="B16">INDEX(_xlfn.TEXTSPLIT(A16," - "),2)</f>
        <v>Category: Asian</v>
      </c>
      <c r="C16" t="s">
        <v>33</v>
      </c>
      <c r="D16" t="s">
        <v>17</v>
      </c>
      <c r="E16">
        <v>7791212</v>
      </c>
      <c r="F16" t="s">
        <v>18</v>
      </c>
      <c r="G16">
        <v>0</v>
      </c>
      <c r="H16">
        <v>163</v>
      </c>
      <c r="I16">
        <v>1</v>
      </c>
      <c r="J16">
        <v>76.23</v>
      </c>
      <c r="K16">
        <v>0.21382657746294101</v>
      </c>
      <c r="L16">
        <v>0.46766871165644103</v>
      </c>
      <c r="M16">
        <v>0</v>
      </c>
      <c r="N16" t="s">
        <v>19</v>
      </c>
      <c r="O16" t="s">
        <v>20</v>
      </c>
      <c r="P16" t="s">
        <v>21</v>
      </c>
    </row>
    <row r="17" spans="1:16" x14ac:dyDescent="0.2">
      <c r="A17" t="s">
        <v>66</v>
      </c>
      <c r="B17" t="str" cm="1">
        <f t="array" ref="B17">INDEX(_xlfn.TEXTSPLIT(A17," - "),2)</f>
        <v>Category: Asian</v>
      </c>
      <c r="C17" t="s">
        <v>23</v>
      </c>
      <c r="D17" t="s">
        <v>24</v>
      </c>
      <c r="E17">
        <v>7791200</v>
      </c>
      <c r="F17" t="s">
        <v>18</v>
      </c>
      <c r="G17">
        <v>0</v>
      </c>
      <c r="H17">
        <v>317</v>
      </c>
      <c r="I17">
        <v>1</v>
      </c>
      <c r="J17">
        <v>126.071</v>
      </c>
      <c r="K17">
        <v>0.251445613979424</v>
      </c>
      <c r="L17">
        <v>0.39770031545741302</v>
      </c>
      <c r="M17">
        <v>0</v>
      </c>
      <c r="N17" t="s">
        <v>19</v>
      </c>
      <c r="O17" t="s">
        <v>20</v>
      </c>
      <c r="P17" t="s">
        <v>21</v>
      </c>
    </row>
    <row r="18" spans="1:16" x14ac:dyDescent="0.2">
      <c r="A18" t="s">
        <v>67</v>
      </c>
      <c r="B18" t="str" cm="1">
        <f t="array" ref="B18">INDEX(_xlfn.TEXTSPLIT(A18," - "),2)</f>
        <v>Category: Asian</v>
      </c>
      <c r="C18" t="s">
        <v>33</v>
      </c>
      <c r="D18" t="s">
        <v>17</v>
      </c>
      <c r="E18">
        <v>7791196</v>
      </c>
      <c r="F18" t="s">
        <v>18</v>
      </c>
      <c r="G18">
        <v>0</v>
      </c>
      <c r="H18">
        <v>85</v>
      </c>
      <c r="I18">
        <v>1</v>
      </c>
      <c r="J18">
        <v>15.19</v>
      </c>
      <c r="K18">
        <v>0.55957867017774798</v>
      </c>
      <c r="L18">
        <v>0.17870588235294099</v>
      </c>
      <c r="M18">
        <v>0</v>
      </c>
      <c r="N18" t="s">
        <v>19</v>
      </c>
      <c r="O18" t="s">
        <v>20</v>
      </c>
      <c r="P18" t="s">
        <v>21</v>
      </c>
    </row>
    <row r="19" spans="1:16" x14ac:dyDescent="0.2">
      <c r="A19" t="s">
        <v>68</v>
      </c>
      <c r="B19" t="str" cm="1">
        <f t="array" ref="B19">INDEX(_xlfn.TEXTSPLIT(A19," - "),2)</f>
        <v>Category: Japanese</v>
      </c>
      <c r="C19" t="s">
        <v>23</v>
      </c>
      <c r="D19" t="s">
        <v>24</v>
      </c>
      <c r="E19">
        <v>7791186</v>
      </c>
      <c r="F19" t="s">
        <v>18</v>
      </c>
      <c r="G19">
        <v>0</v>
      </c>
      <c r="H19">
        <v>1912</v>
      </c>
      <c r="I19">
        <v>0.512896689593622</v>
      </c>
      <c r="J19">
        <v>76.433916269999997</v>
      </c>
      <c r="K19">
        <v>1.28301481640541</v>
      </c>
      <c r="L19">
        <v>3.9975897630753099E-2</v>
      </c>
      <c r="M19">
        <v>0</v>
      </c>
      <c r="N19" t="s">
        <v>19</v>
      </c>
      <c r="O19" t="s">
        <v>20</v>
      </c>
      <c r="P19" t="s">
        <v>21</v>
      </c>
    </row>
    <row r="20" spans="1:16" x14ac:dyDescent="0.2">
      <c r="A20" t="s">
        <v>69</v>
      </c>
      <c r="B20" t="str" cm="1">
        <f t="array" ref="B20">INDEX(_xlfn.TEXTSPLIT(A20," - "),2)</f>
        <v>Category: Japanese</v>
      </c>
      <c r="C20" t="s">
        <v>23</v>
      </c>
      <c r="D20" t="s">
        <v>24</v>
      </c>
      <c r="E20">
        <v>7791178</v>
      </c>
      <c r="F20" t="s">
        <v>18</v>
      </c>
      <c r="G20">
        <v>0</v>
      </c>
      <c r="H20">
        <v>1121</v>
      </c>
      <c r="I20">
        <v>0.39053129196399899</v>
      </c>
      <c r="J20">
        <v>102.230157359999</v>
      </c>
      <c r="K20">
        <v>0.42823525816359198</v>
      </c>
      <c r="L20">
        <v>9.1195501659232805E-2</v>
      </c>
      <c r="M20">
        <v>0</v>
      </c>
      <c r="N20" t="s">
        <v>19</v>
      </c>
      <c r="O20" t="s">
        <v>20</v>
      </c>
      <c r="P20" t="s">
        <v>21</v>
      </c>
    </row>
    <row r="21" spans="1:16" x14ac:dyDescent="0.2">
      <c r="A21" t="s">
        <v>70</v>
      </c>
      <c r="B21" t="str" cm="1">
        <f t="array" ref="B21">INDEX(_xlfn.TEXTSPLIT(A21," - "),2)</f>
        <v>Category: Japanese</v>
      </c>
      <c r="C21" t="s">
        <v>23</v>
      </c>
      <c r="D21" t="s">
        <v>24</v>
      </c>
      <c r="E21">
        <v>7791176</v>
      </c>
      <c r="F21" t="s">
        <v>18</v>
      </c>
      <c r="G21">
        <v>0</v>
      </c>
      <c r="H21">
        <v>1371</v>
      </c>
      <c r="I21">
        <v>0.67463049071056902</v>
      </c>
      <c r="J21">
        <v>358.79615481000002</v>
      </c>
      <c r="K21">
        <v>0.25778381132706901</v>
      </c>
      <c r="L21">
        <v>0.261703978708971</v>
      </c>
      <c r="M21">
        <v>0</v>
      </c>
      <c r="N21" t="s">
        <v>19</v>
      </c>
      <c r="O21" t="s">
        <v>20</v>
      </c>
      <c r="P21" t="s">
        <v>21</v>
      </c>
    </row>
    <row r="22" spans="1:16" x14ac:dyDescent="0.2">
      <c r="A22" t="s">
        <v>71</v>
      </c>
      <c r="B22" t="str" cm="1">
        <f t="array" ref="B22">INDEX(_xlfn.TEXTSPLIT(A22," - "),2)</f>
        <v>Category: Japanese</v>
      </c>
      <c r="C22" t="s">
        <v>23</v>
      </c>
      <c r="D22" t="s">
        <v>24</v>
      </c>
      <c r="E22">
        <v>7791158</v>
      </c>
      <c r="F22" t="s">
        <v>18</v>
      </c>
      <c r="G22">
        <v>0</v>
      </c>
      <c r="H22">
        <v>784</v>
      </c>
      <c r="I22">
        <v>1</v>
      </c>
      <c r="J22">
        <v>160.172</v>
      </c>
      <c r="K22">
        <v>0.48947381564817799</v>
      </c>
      <c r="L22">
        <v>0.204301020408163</v>
      </c>
      <c r="M22">
        <v>0</v>
      </c>
      <c r="N22" t="s">
        <v>19</v>
      </c>
      <c r="O22" t="s">
        <v>20</v>
      </c>
      <c r="P22" t="s">
        <v>21</v>
      </c>
    </row>
    <row r="23" spans="1:16" x14ac:dyDescent="0.2">
      <c r="A23" t="s">
        <v>72</v>
      </c>
      <c r="B23" t="str" cm="1">
        <f t="array" ref="B23">INDEX(_xlfn.TEXTSPLIT(A23," - "),2)</f>
        <v>Category: Japanese</v>
      </c>
      <c r="C23" t="s">
        <v>23</v>
      </c>
      <c r="D23" t="s">
        <v>24</v>
      </c>
      <c r="E23">
        <v>7791146</v>
      </c>
      <c r="F23" t="s">
        <v>18</v>
      </c>
      <c r="G23">
        <v>0</v>
      </c>
      <c r="H23">
        <v>1384</v>
      </c>
      <c r="I23">
        <v>1</v>
      </c>
      <c r="J23">
        <v>267.56099999999998</v>
      </c>
      <c r="K23">
        <v>0.51726522176251399</v>
      </c>
      <c r="L23">
        <v>0.19332442196531699</v>
      </c>
      <c r="M23">
        <v>0</v>
      </c>
      <c r="N23" t="s">
        <v>19</v>
      </c>
      <c r="O23" t="s">
        <v>20</v>
      </c>
      <c r="P23" t="s">
        <v>21</v>
      </c>
    </row>
    <row r="24" spans="1:16" x14ac:dyDescent="0.2">
      <c r="A24" t="s">
        <v>73</v>
      </c>
      <c r="B24" t="str" cm="1">
        <f t="array" ref="B24">INDEX(_xlfn.TEXTSPLIT(A24," - "),2)</f>
        <v>Category: Japanese</v>
      </c>
      <c r="C24" t="s">
        <v>33</v>
      </c>
      <c r="D24" t="s">
        <v>17</v>
      </c>
      <c r="E24">
        <v>7791142</v>
      </c>
      <c r="F24" t="s">
        <v>18</v>
      </c>
      <c r="G24">
        <v>0</v>
      </c>
      <c r="H24">
        <v>11</v>
      </c>
      <c r="I24">
        <v>1</v>
      </c>
      <c r="J24">
        <v>8.8550000000000004</v>
      </c>
      <c r="K24">
        <v>0.12422360248447201</v>
      </c>
      <c r="L24">
        <v>0.80500000000000005</v>
      </c>
      <c r="M24">
        <v>0</v>
      </c>
      <c r="N24" t="s">
        <v>19</v>
      </c>
      <c r="O24" t="s">
        <v>20</v>
      </c>
      <c r="P24" t="s">
        <v>21</v>
      </c>
    </row>
    <row r="25" spans="1:16" x14ac:dyDescent="0.2">
      <c r="A25" t="s">
        <v>74</v>
      </c>
      <c r="B25" t="str" cm="1">
        <f t="array" ref="B25">INDEX(_xlfn.TEXTSPLIT(A25," - "),2)</f>
        <v>Category: Japanese</v>
      </c>
      <c r="C25" t="s">
        <v>33</v>
      </c>
      <c r="D25" t="s">
        <v>17</v>
      </c>
      <c r="E25">
        <v>7791140</v>
      </c>
      <c r="F25" t="s">
        <v>18</v>
      </c>
      <c r="G25">
        <v>0</v>
      </c>
      <c r="H25">
        <v>61</v>
      </c>
      <c r="I25">
        <v>1</v>
      </c>
      <c r="J25">
        <v>41.540999999999997</v>
      </c>
      <c r="K25">
        <v>0.146842878120411</v>
      </c>
      <c r="L25">
        <v>0.68100000000000005</v>
      </c>
      <c r="M25">
        <v>0</v>
      </c>
      <c r="N25" t="s">
        <v>19</v>
      </c>
      <c r="O25" t="s">
        <v>20</v>
      </c>
      <c r="P25" t="s">
        <v>21</v>
      </c>
    </row>
    <row r="26" spans="1:16" x14ac:dyDescent="0.2">
      <c r="A26" t="s">
        <v>76</v>
      </c>
      <c r="B26" t="str" cm="1">
        <f t="array" ref="B26">INDEX(_xlfn.TEXTSPLIT(A26," - "),2)</f>
        <v>cuckold</v>
      </c>
      <c r="C26" t="s">
        <v>33</v>
      </c>
      <c r="D26" t="s">
        <v>17</v>
      </c>
      <c r="E26">
        <v>7790998</v>
      </c>
      <c r="F26" t="s">
        <v>18</v>
      </c>
      <c r="G26">
        <v>0</v>
      </c>
      <c r="H26">
        <v>925</v>
      </c>
      <c r="I26">
        <v>0.416661967499103</v>
      </c>
      <c r="J26">
        <v>34.87044006</v>
      </c>
      <c r="K26">
        <v>1.1052694467678299</v>
      </c>
      <c r="L26">
        <v>3.7697773037837799E-2</v>
      </c>
      <c r="M26">
        <v>0</v>
      </c>
      <c r="N26" t="s">
        <v>19</v>
      </c>
      <c r="O26" t="s">
        <v>20</v>
      </c>
      <c r="P26" t="s">
        <v>21</v>
      </c>
    </row>
    <row r="27" spans="1:16" x14ac:dyDescent="0.2">
      <c r="A27" t="s">
        <v>80</v>
      </c>
      <c r="B27" t="str" cm="1">
        <f t="array" ref="B27">INDEX(_xlfn.TEXTSPLIT(A27," - "),2)</f>
        <v>cuckold</v>
      </c>
      <c r="C27" t="s">
        <v>23</v>
      </c>
      <c r="D27" t="s">
        <v>24</v>
      </c>
      <c r="E27">
        <v>7790956</v>
      </c>
      <c r="F27" t="s">
        <v>18</v>
      </c>
      <c r="G27">
        <v>0</v>
      </c>
      <c r="H27">
        <v>520</v>
      </c>
      <c r="I27">
        <v>1</v>
      </c>
      <c r="J27">
        <v>140.93700000000001</v>
      </c>
      <c r="K27">
        <v>0.36895918034299002</v>
      </c>
      <c r="L27">
        <v>0.271032692307692</v>
      </c>
      <c r="M27">
        <v>0</v>
      </c>
      <c r="N27" t="s">
        <v>19</v>
      </c>
      <c r="O27" t="s">
        <v>20</v>
      </c>
      <c r="P27" t="s">
        <v>21</v>
      </c>
    </row>
    <row r="28" spans="1:16" x14ac:dyDescent="0.2">
      <c r="A28" t="s">
        <v>81</v>
      </c>
      <c r="B28" t="str" cm="1">
        <f t="array" ref="B28">INDEX(_xlfn.TEXTSPLIT(A28," - "),2)</f>
        <v>cuckold</v>
      </c>
      <c r="C28" t="s">
        <v>33</v>
      </c>
      <c r="D28" t="s">
        <v>17</v>
      </c>
      <c r="E28">
        <v>7790948</v>
      </c>
      <c r="F28" t="s">
        <v>18</v>
      </c>
      <c r="G28">
        <v>0</v>
      </c>
      <c r="H28">
        <v>37</v>
      </c>
      <c r="I28">
        <v>1</v>
      </c>
      <c r="J28">
        <v>20.204000000000001</v>
      </c>
      <c r="K28">
        <v>0.18313205305880001</v>
      </c>
      <c r="L28">
        <v>0.54605405405405405</v>
      </c>
      <c r="M28">
        <v>0</v>
      </c>
      <c r="N28" t="s">
        <v>19</v>
      </c>
      <c r="O28" t="s">
        <v>20</v>
      </c>
      <c r="P28" t="s">
        <v>21</v>
      </c>
    </row>
    <row r="29" spans="1:16" x14ac:dyDescent="0.2">
      <c r="A29" t="s">
        <v>82</v>
      </c>
      <c r="B29" t="str" cm="1">
        <f t="array" ref="B29">INDEX(_xlfn.TEXTSPLIT(A29," - "),2)</f>
        <v>lingerie</v>
      </c>
      <c r="C29" t="s">
        <v>33</v>
      </c>
      <c r="D29" t="s">
        <v>17</v>
      </c>
      <c r="E29">
        <v>7790934</v>
      </c>
      <c r="F29" t="s">
        <v>18</v>
      </c>
      <c r="G29">
        <v>0</v>
      </c>
      <c r="H29">
        <v>2027</v>
      </c>
      <c r="I29">
        <v>0.43770859484208602</v>
      </c>
      <c r="J29">
        <v>72.081413690000005</v>
      </c>
      <c r="K29">
        <v>1.2308794685418201</v>
      </c>
      <c r="L29">
        <v>3.5560638228909702E-2</v>
      </c>
      <c r="M29">
        <v>0</v>
      </c>
      <c r="N29" t="s">
        <v>19</v>
      </c>
      <c r="O29" t="s">
        <v>20</v>
      </c>
      <c r="P29" t="s">
        <v>21</v>
      </c>
    </row>
    <row r="30" spans="1:16" x14ac:dyDescent="0.2">
      <c r="A30" t="s">
        <v>84</v>
      </c>
      <c r="B30" t="str" cm="1">
        <f t="array" ref="B30">INDEX(_xlfn.TEXTSPLIT(A30," - "),2)</f>
        <v>lingerie</v>
      </c>
      <c r="C30" t="s">
        <v>33</v>
      </c>
      <c r="D30" t="s">
        <v>17</v>
      </c>
      <c r="E30">
        <v>7790926</v>
      </c>
      <c r="F30" t="s">
        <v>18</v>
      </c>
      <c r="G30">
        <v>0</v>
      </c>
      <c r="H30">
        <v>12</v>
      </c>
      <c r="I30">
        <v>0.58217607504690405</v>
      </c>
      <c r="J30">
        <v>1.5514992400000001</v>
      </c>
      <c r="K30">
        <v>0.45028142589118197</v>
      </c>
      <c r="L30">
        <v>0.12929160333333301</v>
      </c>
      <c r="M30">
        <v>0</v>
      </c>
      <c r="N30" t="s">
        <v>19</v>
      </c>
      <c r="O30" t="s">
        <v>20</v>
      </c>
      <c r="P30" t="s">
        <v>21</v>
      </c>
    </row>
    <row r="31" spans="1:16" x14ac:dyDescent="0.2">
      <c r="A31" t="s">
        <v>86</v>
      </c>
      <c r="B31" t="str" cm="1">
        <f t="array" ref="B31">INDEX(_xlfn.TEXTSPLIT(A31," - "),2)</f>
        <v>lingerie</v>
      </c>
      <c r="C31" t="s">
        <v>23</v>
      </c>
      <c r="D31" t="s">
        <v>24</v>
      </c>
      <c r="E31">
        <v>7790918</v>
      </c>
      <c r="F31" t="s">
        <v>18</v>
      </c>
      <c r="G31">
        <v>0</v>
      </c>
      <c r="H31">
        <v>663</v>
      </c>
      <c r="I31">
        <v>0.55915590696331696</v>
      </c>
      <c r="J31">
        <v>135.58692009999999</v>
      </c>
      <c r="K31">
        <v>0.27341897436954798</v>
      </c>
      <c r="L31">
        <v>0.20450515852187001</v>
      </c>
      <c r="M31">
        <v>0</v>
      </c>
      <c r="N31" t="s">
        <v>19</v>
      </c>
      <c r="O31" t="s">
        <v>20</v>
      </c>
      <c r="P31" t="s">
        <v>21</v>
      </c>
    </row>
    <row r="32" spans="1:16" x14ac:dyDescent="0.2">
      <c r="A32" t="s">
        <v>87</v>
      </c>
      <c r="B32" t="str" cm="1">
        <f t="array" ref="B32">INDEX(_xlfn.TEXTSPLIT(A32," - "),2)</f>
        <v>lingerie</v>
      </c>
      <c r="C32" t="s">
        <v>23</v>
      </c>
      <c r="D32" t="s">
        <v>24</v>
      </c>
      <c r="E32">
        <v>7790902</v>
      </c>
      <c r="F32" t="s">
        <v>18</v>
      </c>
      <c r="G32">
        <v>0</v>
      </c>
      <c r="H32">
        <v>649</v>
      </c>
      <c r="I32">
        <v>1</v>
      </c>
      <c r="J32">
        <v>149.673</v>
      </c>
      <c r="K32">
        <v>0.43361194069738601</v>
      </c>
      <c r="L32">
        <v>0.23062095531587001</v>
      </c>
      <c r="M32">
        <v>0</v>
      </c>
      <c r="N32" t="s">
        <v>19</v>
      </c>
      <c r="O32" t="s">
        <v>20</v>
      </c>
      <c r="P32" t="s">
        <v>21</v>
      </c>
    </row>
    <row r="33" spans="1:16" x14ac:dyDescent="0.2">
      <c r="A33" t="s">
        <v>88</v>
      </c>
      <c r="B33" t="str" cm="1">
        <f t="array" ref="B33">INDEX(_xlfn.TEXTSPLIT(A33," - "),2)</f>
        <v>lingerie</v>
      </c>
      <c r="C33" t="s">
        <v>33</v>
      </c>
      <c r="D33" t="s">
        <v>17</v>
      </c>
      <c r="E33">
        <v>7790894</v>
      </c>
      <c r="F33" t="s">
        <v>18</v>
      </c>
      <c r="G33">
        <v>0</v>
      </c>
      <c r="H33">
        <v>28</v>
      </c>
      <c r="I33">
        <v>1</v>
      </c>
      <c r="J33">
        <v>11.468999999999999</v>
      </c>
      <c r="K33">
        <v>0.24413636759961599</v>
      </c>
      <c r="L33">
        <v>0.409607142857142</v>
      </c>
      <c r="M33">
        <v>0</v>
      </c>
      <c r="N33" t="s">
        <v>19</v>
      </c>
      <c r="O33" t="s">
        <v>20</v>
      </c>
      <c r="P33" t="s">
        <v>21</v>
      </c>
    </row>
    <row r="34" spans="1:16" x14ac:dyDescent="0.2">
      <c r="A34" t="s">
        <v>91</v>
      </c>
      <c r="B34" t="str" cm="1">
        <f t="array" ref="B34">INDEX(_xlfn.TEXTSPLIT(A34," - "),2)</f>
        <v>power</v>
      </c>
      <c r="C34" t="s">
        <v>23</v>
      </c>
      <c r="D34" t="s">
        <v>24</v>
      </c>
      <c r="E34">
        <v>7790866</v>
      </c>
      <c r="F34" t="s">
        <v>18</v>
      </c>
      <c r="G34">
        <v>0</v>
      </c>
      <c r="H34">
        <v>1890</v>
      </c>
      <c r="I34">
        <v>0.49720735381977799</v>
      </c>
      <c r="J34">
        <v>153.12793199999999</v>
      </c>
      <c r="K34">
        <v>0.61368418318310503</v>
      </c>
      <c r="L34">
        <v>8.1020069841269804E-2</v>
      </c>
      <c r="M34">
        <v>0</v>
      </c>
      <c r="N34" t="s">
        <v>19</v>
      </c>
      <c r="O34" t="s">
        <v>20</v>
      </c>
      <c r="P34" t="s">
        <v>21</v>
      </c>
    </row>
    <row r="35" spans="1:16" x14ac:dyDescent="0.2">
      <c r="A35" t="s">
        <v>102</v>
      </c>
      <c r="B35" t="str" cm="1">
        <f t="array" ref="B35">INDEX(_xlfn.TEXTSPLIT(A35," - "),2)</f>
        <v>Handjob</v>
      </c>
      <c r="C35" t="s">
        <v>23</v>
      </c>
      <c r="D35" t="s">
        <v>24</v>
      </c>
      <c r="E35">
        <v>7790620</v>
      </c>
      <c r="F35" t="s">
        <v>18</v>
      </c>
      <c r="G35">
        <v>0</v>
      </c>
      <c r="H35">
        <v>351</v>
      </c>
      <c r="I35">
        <v>1</v>
      </c>
      <c r="J35">
        <v>127.645</v>
      </c>
      <c r="K35">
        <v>0.27498139370911501</v>
      </c>
      <c r="L35">
        <v>0.36366096866096798</v>
      </c>
      <c r="M35">
        <v>0</v>
      </c>
      <c r="N35" t="s">
        <v>19</v>
      </c>
      <c r="O35" t="s">
        <v>20</v>
      </c>
      <c r="P35" t="s">
        <v>21</v>
      </c>
    </row>
    <row r="36" spans="1:16" x14ac:dyDescent="0.2">
      <c r="A36" t="s">
        <v>103</v>
      </c>
      <c r="B36" t="str" cm="1">
        <f t="array" ref="B36">INDEX(_xlfn.TEXTSPLIT(A36," - "),2)</f>
        <v>roleplay</v>
      </c>
      <c r="C36" t="s">
        <v>33</v>
      </c>
      <c r="D36" t="s">
        <v>17</v>
      </c>
      <c r="E36">
        <v>7790542</v>
      </c>
      <c r="F36" t="s">
        <v>18</v>
      </c>
      <c r="G36">
        <v>0</v>
      </c>
      <c r="H36">
        <v>1204</v>
      </c>
      <c r="I36">
        <v>0.49835625106107201</v>
      </c>
      <c r="J36">
        <v>54.599412510000001</v>
      </c>
      <c r="K36">
        <v>1.0989512500114</v>
      </c>
      <c r="L36">
        <v>4.5348349260797297E-2</v>
      </c>
      <c r="M36">
        <v>0</v>
      </c>
      <c r="N36" t="s">
        <v>19</v>
      </c>
      <c r="O36" t="s">
        <v>20</v>
      </c>
      <c r="P36" t="s">
        <v>21</v>
      </c>
    </row>
    <row r="37" spans="1:16" x14ac:dyDescent="0.2">
      <c r="A37" t="s">
        <v>107</v>
      </c>
      <c r="B37" t="str" cm="1">
        <f t="array" ref="B37">INDEX(_xlfn.TEXTSPLIT(A37," - "),2)</f>
        <v>roleplay</v>
      </c>
      <c r="C37" t="s">
        <v>23</v>
      </c>
      <c r="D37" t="s">
        <v>24</v>
      </c>
      <c r="E37">
        <v>7790500</v>
      </c>
      <c r="F37" t="s">
        <v>18</v>
      </c>
      <c r="G37">
        <v>0</v>
      </c>
      <c r="H37">
        <v>830</v>
      </c>
      <c r="I37">
        <v>1</v>
      </c>
      <c r="J37">
        <v>162.197</v>
      </c>
      <c r="K37">
        <v>0.51172339808997702</v>
      </c>
      <c r="L37">
        <v>0.195418072289156</v>
      </c>
      <c r="M37">
        <v>0</v>
      </c>
      <c r="N37" t="s">
        <v>19</v>
      </c>
      <c r="O37" t="s">
        <v>20</v>
      </c>
      <c r="P37" t="s">
        <v>21</v>
      </c>
    </row>
    <row r="38" spans="1:16" x14ac:dyDescent="0.2">
      <c r="A38" t="s">
        <v>109</v>
      </c>
      <c r="B38" t="str" cm="1">
        <f t="array" ref="B38">INDEX(_xlfn.TEXTSPLIT(A38," - "),2)</f>
        <v>Category: Squirting</v>
      </c>
      <c r="C38" t="s">
        <v>23</v>
      </c>
      <c r="D38" t="s">
        <v>24</v>
      </c>
      <c r="E38">
        <v>7790470</v>
      </c>
      <c r="F38" t="s">
        <v>18</v>
      </c>
      <c r="G38">
        <v>0</v>
      </c>
      <c r="H38">
        <v>1249</v>
      </c>
      <c r="I38">
        <v>0.87923145155233995</v>
      </c>
      <c r="J38">
        <v>88.979981359999996</v>
      </c>
      <c r="K38">
        <v>1.2341653327009301</v>
      </c>
      <c r="L38">
        <v>7.1240977870296193E-2</v>
      </c>
      <c r="M38">
        <v>0</v>
      </c>
      <c r="N38" t="s">
        <v>19</v>
      </c>
      <c r="O38" t="s">
        <v>20</v>
      </c>
      <c r="P38" t="s">
        <v>21</v>
      </c>
    </row>
    <row r="39" spans="1:16" x14ac:dyDescent="0.2">
      <c r="A39" t="s">
        <v>111</v>
      </c>
      <c r="B39" t="str" cm="1">
        <f t="array" ref="B39">INDEX(_xlfn.TEXTSPLIT(A39," - "),2)</f>
        <v>Category: Squirting</v>
      </c>
      <c r="C39" t="s">
        <v>23</v>
      </c>
      <c r="D39" t="s">
        <v>24</v>
      </c>
      <c r="E39">
        <v>7790458</v>
      </c>
      <c r="F39" t="s">
        <v>18</v>
      </c>
      <c r="G39">
        <v>0</v>
      </c>
      <c r="H39">
        <v>276</v>
      </c>
      <c r="I39">
        <v>0.95338580153583796</v>
      </c>
      <c r="J39">
        <v>87.775370589999994</v>
      </c>
      <c r="K39">
        <v>0.29978168073250999</v>
      </c>
      <c r="L39">
        <v>0.31802670503623098</v>
      </c>
      <c r="M39">
        <v>0</v>
      </c>
      <c r="N39" t="s">
        <v>19</v>
      </c>
      <c r="O39" t="s">
        <v>20</v>
      </c>
      <c r="P39" t="s">
        <v>21</v>
      </c>
    </row>
    <row r="40" spans="1:16" x14ac:dyDescent="0.2">
      <c r="A40" t="s">
        <v>113</v>
      </c>
      <c r="B40" t="str" cm="1">
        <f t="array" ref="B40">INDEX(_xlfn.TEXTSPLIT(A40," - "),2)</f>
        <v>Category: Squirting</v>
      </c>
      <c r="C40" t="s">
        <v>33</v>
      </c>
      <c r="D40" t="s">
        <v>17</v>
      </c>
      <c r="E40">
        <v>7790428</v>
      </c>
      <c r="F40" t="s">
        <v>18</v>
      </c>
      <c r="G40">
        <v>0</v>
      </c>
      <c r="H40">
        <v>69</v>
      </c>
      <c r="I40">
        <v>1</v>
      </c>
      <c r="J40">
        <v>38.262</v>
      </c>
      <c r="K40">
        <v>0.180335580994197</v>
      </c>
      <c r="L40">
        <v>0.55452173913043401</v>
      </c>
      <c r="M40">
        <v>0</v>
      </c>
      <c r="N40" t="s">
        <v>19</v>
      </c>
      <c r="O40" t="s">
        <v>20</v>
      </c>
      <c r="P40" t="s">
        <v>21</v>
      </c>
    </row>
    <row r="41" spans="1:16" x14ac:dyDescent="0.2">
      <c r="A41" t="s">
        <v>116</v>
      </c>
      <c r="B41" t="str" cm="1">
        <f t="array" ref="B41">INDEX(_xlfn.TEXTSPLIT(A41," - "),2)</f>
        <v>Category: Squirting</v>
      </c>
      <c r="C41" t="s">
        <v>33</v>
      </c>
      <c r="D41" t="s">
        <v>17</v>
      </c>
      <c r="E41">
        <v>7790396</v>
      </c>
      <c r="F41" t="s">
        <v>18</v>
      </c>
      <c r="G41">
        <v>0</v>
      </c>
      <c r="H41">
        <v>4</v>
      </c>
      <c r="I41">
        <v>1</v>
      </c>
      <c r="J41">
        <v>1.6359999999999999</v>
      </c>
      <c r="K41">
        <v>0.24449877750611199</v>
      </c>
      <c r="L41">
        <v>0.40899999999999997</v>
      </c>
      <c r="M41">
        <v>0</v>
      </c>
      <c r="N41" t="s">
        <v>19</v>
      </c>
      <c r="O41" t="s">
        <v>20</v>
      </c>
      <c r="P41" t="s">
        <v>21</v>
      </c>
    </row>
    <row r="42" spans="1:16" x14ac:dyDescent="0.2">
      <c r="A42" t="s">
        <v>117</v>
      </c>
      <c r="B42" t="str" cm="1">
        <f t="array" ref="B42">INDEX(_xlfn.TEXTSPLIT(A42," - "),2)</f>
        <v>milf</v>
      </c>
      <c r="C42" t="s">
        <v>23</v>
      </c>
      <c r="D42" t="s">
        <v>24</v>
      </c>
      <c r="E42">
        <v>7790312</v>
      </c>
      <c r="F42" t="s">
        <v>18</v>
      </c>
      <c r="G42">
        <v>0</v>
      </c>
      <c r="H42">
        <v>5381</v>
      </c>
      <c r="I42">
        <v>0.50847036753849495</v>
      </c>
      <c r="J42">
        <v>206.28591964</v>
      </c>
      <c r="K42">
        <v>1.32635278864379</v>
      </c>
      <c r="L42">
        <v>3.83359820925478E-2</v>
      </c>
      <c r="M42">
        <v>0</v>
      </c>
      <c r="N42" t="s">
        <v>19</v>
      </c>
      <c r="O42" t="s">
        <v>20</v>
      </c>
      <c r="P42" t="s">
        <v>21</v>
      </c>
    </row>
    <row r="43" spans="1:16" x14ac:dyDescent="0.2">
      <c r="A43" t="s">
        <v>119</v>
      </c>
      <c r="B43" t="str" cm="1">
        <f t="array" ref="B43">INDEX(_xlfn.TEXTSPLIT(A43," - "),2)</f>
        <v>milf</v>
      </c>
      <c r="C43" t="s">
        <v>23</v>
      </c>
      <c r="D43" t="s">
        <v>24</v>
      </c>
      <c r="E43">
        <v>7790304</v>
      </c>
      <c r="F43" t="s">
        <v>18</v>
      </c>
      <c r="G43">
        <v>0</v>
      </c>
      <c r="H43">
        <v>696</v>
      </c>
      <c r="I43">
        <v>0.47994322980587101</v>
      </c>
      <c r="J43">
        <v>84.157085460000005</v>
      </c>
      <c r="K43">
        <v>0.39692497205556898</v>
      </c>
      <c r="L43">
        <v>0.120915352672413</v>
      </c>
      <c r="M43">
        <v>0</v>
      </c>
      <c r="N43" t="s">
        <v>19</v>
      </c>
      <c r="O43" t="s">
        <v>20</v>
      </c>
      <c r="P43" t="s">
        <v>21</v>
      </c>
    </row>
    <row r="44" spans="1:16" x14ac:dyDescent="0.2">
      <c r="A44" t="s">
        <v>120</v>
      </c>
      <c r="B44" t="str" cm="1">
        <f t="array" ref="B44">INDEX(_xlfn.TEXTSPLIT(A44," - "),2)</f>
        <v>milf</v>
      </c>
      <c r="C44" t="s">
        <v>23</v>
      </c>
      <c r="D44" t="s">
        <v>24</v>
      </c>
      <c r="E44">
        <v>7790302</v>
      </c>
      <c r="F44" t="s">
        <v>18</v>
      </c>
      <c r="G44">
        <v>0</v>
      </c>
      <c r="H44">
        <v>1448</v>
      </c>
      <c r="I44">
        <v>0.59427017611294897</v>
      </c>
      <c r="J44">
        <v>152.28529824999899</v>
      </c>
      <c r="K44">
        <v>0.56505994005993998</v>
      </c>
      <c r="L44">
        <v>0.105169404868784</v>
      </c>
      <c r="M44">
        <v>0</v>
      </c>
      <c r="N44" t="s">
        <v>19</v>
      </c>
      <c r="O44" t="s">
        <v>20</v>
      </c>
      <c r="P44" t="s">
        <v>21</v>
      </c>
    </row>
    <row r="45" spans="1:16" x14ac:dyDescent="0.2">
      <c r="A45" t="s">
        <v>126</v>
      </c>
      <c r="B45" t="str" cm="1">
        <f t="array" ref="B45">INDEX(_xlfn.TEXTSPLIT(A45," - "),2)</f>
        <v>milf</v>
      </c>
      <c r="C45" t="s">
        <v>23</v>
      </c>
      <c r="D45" t="s">
        <v>24</v>
      </c>
      <c r="E45">
        <v>7790274</v>
      </c>
      <c r="F45" t="s">
        <v>18</v>
      </c>
      <c r="G45">
        <v>0</v>
      </c>
      <c r="H45">
        <v>283</v>
      </c>
      <c r="I45">
        <v>1</v>
      </c>
      <c r="J45">
        <v>105.402999999999</v>
      </c>
      <c r="K45">
        <v>0.26849330664212501</v>
      </c>
      <c r="L45">
        <v>0.372448763250883</v>
      </c>
      <c r="M45">
        <v>0</v>
      </c>
      <c r="N45" t="s">
        <v>19</v>
      </c>
      <c r="O45" t="s">
        <v>20</v>
      </c>
      <c r="P45" t="s">
        <v>21</v>
      </c>
    </row>
    <row r="46" spans="1:16" x14ac:dyDescent="0.2">
      <c r="A46" t="s">
        <v>127</v>
      </c>
      <c r="B46" t="str" cm="1">
        <f t="array" ref="B46">INDEX(_xlfn.TEXTSPLIT(A46," - "),2)</f>
        <v>milf</v>
      </c>
      <c r="C46" t="s">
        <v>23</v>
      </c>
      <c r="D46" t="s">
        <v>24</v>
      </c>
      <c r="E46">
        <v>7790272</v>
      </c>
      <c r="F46" t="s">
        <v>18</v>
      </c>
      <c r="G46">
        <v>0</v>
      </c>
      <c r="H46">
        <v>659</v>
      </c>
      <c r="I46">
        <v>1</v>
      </c>
      <c r="J46">
        <v>63.143999999999998</v>
      </c>
      <c r="K46">
        <v>1.0436462688458099</v>
      </c>
      <c r="L46">
        <v>9.5817905918057597E-2</v>
      </c>
      <c r="M46">
        <v>0</v>
      </c>
      <c r="N46" t="s">
        <v>19</v>
      </c>
      <c r="O46" t="s">
        <v>20</v>
      </c>
      <c r="P46" t="s">
        <v>21</v>
      </c>
    </row>
    <row r="47" spans="1:16" x14ac:dyDescent="0.2">
      <c r="A47" t="s">
        <v>129</v>
      </c>
      <c r="B47" t="str" cm="1">
        <f t="array" ref="B47">INDEX(_xlfn.TEXTSPLIT(A47," - "),2)</f>
        <v>milf</v>
      </c>
      <c r="C47" t="s">
        <v>23</v>
      </c>
      <c r="D47" t="s">
        <v>24</v>
      </c>
      <c r="E47">
        <v>7790266</v>
      </c>
      <c r="F47" t="s">
        <v>18</v>
      </c>
      <c r="G47">
        <v>0</v>
      </c>
      <c r="H47">
        <v>125</v>
      </c>
      <c r="I47">
        <v>1</v>
      </c>
      <c r="J47">
        <v>65.012</v>
      </c>
      <c r="K47">
        <v>0.192272195902294</v>
      </c>
      <c r="L47">
        <v>0.520096</v>
      </c>
      <c r="M47">
        <v>0</v>
      </c>
      <c r="N47" t="s">
        <v>19</v>
      </c>
      <c r="O47" t="s">
        <v>20</v>
      </c>
      <c r="P47" t="s">
        <v>21</v>
      </c>
    </row>
    <row r="48" spans="1:16" x14ac:dyDescent="0.2">
      <c r="A48" t="s">
        <v>130</v>
      </c>
      <c r="B48" t="str" cm="1">
        <f t="array" ref="B48">INDEX(_xlfn.TEXTSPLIT(A48," - "),2)</f>
        <v>milf</v>
      </c>
      <c r="C48" t="s">
        <v>23</v>
      </c>
      <c r="D48" t="s">
        <v>24</v>
      </c>
      <c r="E48">
        <v>7790264</v>
      </c>
      <c r="F48" t="s">
        <v>18</v>
      </c>
      <c r="G48">
        <v>0</v>
      </c>
      <c r="H48">
        <v>82</v>
      </c>
      <c r="I48">
        <v>1</v>
      </c>
      <c r="J48">
        <v>71.47</v>
      </c>
      <c r="K48">
        <v>0.11473345459633399</v>
      </c>
      <c r="L48">
        <v>0.87158536585365798</v>
      </c>
      <c r="M48">
        <v>0</v>
      </c>
      <c r="N48" t="s">
        <v>19</v>
      </c>
      <c r="O48" t="s">
        <v>20</v>
      </c>
      <c r="P48" t="s">
        <v>21</v>
      </c>
    </row>
    <row r="49" spans="1:16" x14ac:dyDescent="0.2">
      <c r="A49" t="s">
        <v>133</v>
      </c>
      <c r="B49" t="str" cm="1">
        <f t="array" ref="B49">INDEX(_xlfn.TEXTSPLIT(A49," - "),2)</f>
        <v>milf</v>
      </c>
      <c r="C49" t="s">
        <v>33</v>
      </c>
      <c r="D49" t="s">
        <v>17</v>
      </c>
      <c r="E49">
        <v>7790254</v>
      </c>
      <c r="F49" t="s">
        <v>18</v>
      </c>
      <c r="G49">
        <v>0</v>
      </c>
      <c r="H49">
        <v>5</v>
      </c>
      <c r="I49">
        <v>1</v>
      </c>
      <c r="J49">
        <v>1.0669999999999999</v>
      </c>
      <c r="K49">
        <v>0.46860356138706599</v>
      </c>
      <c r="L49">
        <v>0.21339999999999901</v>
      </c>
      <c r="M49">
        <v>0</v>
      </c>
      <c r="N49" t="s">
        <v>19</v>
      </c>
      <c r="O49" t="s">
        <v>20</v>
      </c>
      <c r="P49" t="s">
        <v>21</v>
      </c>
    </row>
    <row r="50" spans="1:16" x14ac:dyDescent="0.2">
      <c r="A50" t="s">
        <v>141</v>
      </c>
      <c r="B50" t="str" cm="1">
        <f t="array" ref="B50">INDEX(_xlfn.TEXTSPLIT(A50," - "),2)</f>
        <v>bbc</v>
      </c>
      <c r="C50" t="s">
        <v>33</v>
      </c>
      <c r="D50" t="s">
        <v>17</v>
      </c>
      <c r="E50">
        <v>7790204</v>
      </c>
      <c r="F50" t="s">
        <v>18</v>
      </c>
      <c r="G50">
        <v>0</v>
      </c>
      <c r="H50">
        <v>8</v>
      </c>
      <c r="I50">
        <v>1</v>
      </c>
      <c r="J50">
        <v>9.1969999999999992</v>
      </c>
      <c r="K50">
        <v>8.6984886375992096E-2</v>
      </c>
      <c r="L50">
        <v>1.1496249999999999</v>
      </c>
      <c r="M50">
        <v>0</v>
      </c>
      <c r="N50" t="s">
        <v>19</v>
      </c>
      <c r="O50" t="s">
        <v>20</v>
      </c>
      <c r="P50" t="s">
        <v>21</v>
      </c>
    </row>
    <row r="51" spans="1:16" x14ac:dyDescent="0.2">
      <c r="A51" t="s">
        <v>142</v>
      </c>
      <c r="B51" t="str" cm="1">
        <f t="array" ref="B51">INDEX(_xlfn.TEXTSPLIT(A51," - "),2)</f>
        <v>bbc</v>
      </c>
      <c r="C51" t="s">
        <v>33</v>
      </c>
      <c r="D51" t="s">
        <v>17</v>
      </c>
      <c r="E51">
        <v>7790202</v>
      </c>
      <c r="F51" t="s">
        <v>18</v>
      </c>
      <c r="G51">
        <v>0</v>
      </c>
      <c r="H51">
        <v>25</v>
      </c>
      <c r="I51">
        <v>0.999999999999999</v>
      </c>
      <c r="J51">
        <v>35.751999999999903</v>
      </c>
      <c r="K51">
        <v>6.9926157977176107E-2</v>
      </c>
      <c r="L51">
        <v>1.43007999999999</v>
      </c>
      <c r="M51">
        <v>0</v>
      </c>
      <c r="N51" t="s">
        <v>19</v>
      </c>
      <c r="O51" t="s">
        <v>20</v>
      </c>
      <c r="P51" t="s">
        <v>21</v>
      </c>
    </row>
    <row r="52" spans="1:16" x14ac:dyDescent="0.2">
      <c r="A52" t="s">
        <v>145</v>
      </c>
      <c r="B52" t="str" cm="1">
        <f t="array" ref="B52">INDEX(_xlfn.TEXTSPLIT(A52," - "),2)</f>
        <v>bbc</v>
      </c>
      <c r="C52" t="s">
        <v>33</v>
      </c>
      <c r="D52" t="s">
        <v>17</v>
      </c>
      <c r="E52">
        <v>7790186</v>
      </c>
      <c r="F52" t="s">
        <v>18</v>
      </c>
      <c r="G52">
        <v>0</v>
      </c>
      <c r="H52">
        <v>12</v>
      </c>
      <c r="I52">
        <v>1</v>
      </c>
      <c r="J52">
        <v>4.2809999999999997</v>
      </c>
      <c r="K52">
        <v>0.28030833917309</v>
      </c>
      <c r="L52">
        <v>0.35675000000000001</v>
      </c>
      <c r="M52">
        <v>0</v>
      </c>
      <c r="N52" t="s">
        <v>19</v>
      </c>
      <c r="O52" t="s">
        <v>20</v>
      </c>
      <c r="P52" t="s">
        <v>21</v>
      </c>
    </row>
    <row r="53" spans="1:16" x14ac:dyDescent="0.2">
      <c r="A53" t="s">
        <v>146</v>
      </c>
      <c r="B53" t="str" cm="1">
        <f t="array" ref="B53">INDEX(_xlfn.TEXTSPLIT(A53," - "),2)</f>
        <v>creampie</v>
      </c>
      <c r="C53" t="s">
        <v>23</v>
      </c>
      <c r="D53" t="s">
        <v>24</v>
      </c>
      <c r="E53">
        <v>7790184</v>
      </c>
      <c r="F53" t="s">
        <v>18</v>
      </c>
      <c r="G53">
        <v>0</v>
      </c>
      <c r="H53">
        <v>2643</v>
      </c>
      <c r="I53">
        <v>0.73914461602547199</v>
      </c>
      <c r="J53">
        <v>154.37404877999899</v>
      </c>
      <c r="K53">
        <v>1.26547125996504</v>
      </c>
      <c r="L53">
        <v>5.8408645017026098E-2</v>
      </c>
      <c r="M53">
        <v>0</v>
      </c>
      <c r="N53" t="s">
        <v>19</v>
      </c>
      <c r="O53" t="s">
        <v>20</v>
      </c>
      <c r="P53" t="s">
        <v>21</v>
      </c>
    </row>
    <row r="54" spans="1:16" x14ac:dyDescent="0.2">
      <c r="A54" t="s">
        <v>149</v>
      </c>
      <c r="B54" t="str" cm="1">
        <f t="array" ref="B54">INDEX(_xlfn.TEXTSPLIT(A54," - "),2)</f>
        <v>creampie</v>
      </c>
      <c r="C54" t="s">
        <v>23</v>
      </c>
      <c r="D54" t="s">
        <v>24</v>
      </c>
      <c r="E54">
        <v>7790176</v>
      </c>
      <c r="F54" t="s">
        <v>18</v>
      </c>
      <c r="G54">
        <v>0</v>
      </c>
      <c r="H54">
        <v>1077</v>
      </c>
      <c r="I54">
        <v>0.68548290583911997</v>
      </c>
      <c r="J54">
        <v>130.3905019</v>
      </c>
      <c r="K54">
        <v>0.56619545045921205</v>
      </c>
      <c r="L54">
        <v>0.121068246889507</v>
      </c>
      <c r="M54">
        <v>0</v>
      </c>
      <c r="N54" t="s">
        <v>19</v>
      </c>
      <c r="O54" t="s">
        <v>20</v>
      </c>
      <c r="P54" t="s">
        <v>21</v>
      </c>
    </row>
    <row r="55" spans="1:16" x14ac:dyDescent="0.2">
      <c r="A55" t="s">
        <v>151</v>
      </c>
      <c r="B55" t="str" cm="1">
        <f t="array" ref="B55">INDEX(_xlfn.TEXTSPLIT(A55," - "),2)</f>
        <v>creampie</v>
      </c>
      <c r="C55" t="s">
        <v>33</v>
      </c>
      <c r="D55" t="s">
        <v>17</v>
      </c>
      <c r="E55">
        <v>7790170</v>
      </c>
      <c r="F55" t="s">
        <v>18</v>
      </c>
      <c r="G55">
        <v>0</v>
      </c>
      <c r="H55">
        <v>253</v>
      </c>
      <c r="I55">
        <v>1</v>
      </c>
      <c r="J55">
        <v>91.933999999999997</v>
      </c>
      <c r="K55">
        <v>0.27519742423912802</v>
      </c>
      <c r="L55">
        <v>0.363375494071146</v>
      </c>
      <c r="M55">
        <v>0</v>
      </c>
      <c r="N55" t="s">
        <v>19</v>
      </c>
      <c r="O55" t="s">
        <v>20</v>
      </c>
      <c r="P55" t="s">
        <v>21</v>
      </c>
    </row>
    <row r="56" spans="1:16" x14ac:dyDescent="0.2">
      <c r="A56" t="s">
        <v>152</v>
      </c>
      <c r="B56" t="str" cm="1">
        <f t="array" ref="B56">INDEX(_xlfn.TEXTSPLIT(A56," - "),2)</f>
        <v>creampie</v>
      </c>
      <c r="C56" t="s">
        <v>33</v>
      </c>
      <c r="D56" t="s">
        <v>17</v>
      </c>
      <c r="E56">
        <v>7790164</v>
      </c>
      <c r="F56" t="s">
        <v>18</v>
      </c>
      <c r="G56">
        <v>0</v>
      </c>
      <c r="H56">
        <v>40</v>
      </c>
      <c r="I56">
        <v>1</v>
      </c>
      <c r="J56">
        <v>18.814</v>
      </c>
      <c r="K56">
        <v>0.21260763261401</v>
      </c>
      <c r="L56">
        <v>0.47034999999999999</v>
      </c>
      <c r="M56">
        <v>0</v>
      </c>
      <c r="N56" t="s">
        <v>19</v>
      </c>
      <c r="O56" t="s">
        <v>20</v>
      </c>
      <c r="P56" t="s">
        <v>21</v>
      </c>
    </row>
    <row r="57" spans="1:16" x14ac:dyDescent="0.2">
      <c r="A57" t="s">
        <v>153</v>
      </c>
      <c r="B57" t="str" cm="1">
        <f t="array" ref="B57">INDEX(_xlfn.TEXTSPLIT(A57," - "),2)</f>
        <v>creampie</v>
      </c>
      <c r="C57" t="s">
        <v>33</v>
      </c>
      <c r="D57" t="s">
        <v>17</v>
      </c>
      <c r="E57">
        <v>7790162</v>
      </c>
      <c r="F57" t="s">
        <v>18</v>
      </c>
      <c r="G57">
        <v>0</v>
      </c>
      <c r="H57">
        <v>14</v>
      </c>
      <c r="I57">
        <v>1</v>
      </c>
      <c r="J57">
        <v>8.0069999999999997</v>
      </c>
      <c r="K57">
        <v>0.174847008867241</v>
      </c>
      <c r="L57">
        <v>0.57192857142857101</v>
      </c>
      <c r="M57">
        <v>0</v>
      </c>
      <c r="N57" t="s">
        <v>19</v>
      </c>
      <c r="O57" t="s">
        <v>20</v>
      </c>
      <c r="P57" t="s">
        <v>21</v>
      </c>
    </row>
    <row r="58" spans="1:16" x14ac:dyDescent="0.2">
      <c r="A58" t="s">
        <v>156</v>
      </c>
      <c r="B58" t="str" cm="1">
        <f t="array" ref="B58">INDEX(_xlfn.TEXTSPLIT(A58," - "),2)</f>
        <v>creampie</v>
      </c>
      <c r="C58" t="s">
        <v>23</v>
      </c>
      <c r="D58" t="s">
        <v>24</v>
      </c>
      <c r="E58">
        <v>7790148</v>
      </c>
      <c r="F58" t="s">
        <v>18</v>
      </c>
      <c r="G58">
        <v>0</v>
      </c>
      <c r="H58">
        <v>632</v>
      </c>
      <c r="I58">
        <v>1</v>
      </c>
      <c r="J58">
        <v>71.619</v>
      </c>
      <c r="K58">
        <v>0.88244739524427795</v>
      </c>
      <c r="L58">
        <v>0.113321202531645</v>
      </c>
      <c r="M58">
        <v>0</v>
      </c>
      <c r="N58" t="s">
        <v>19</v>
      </c>
      <c r="O58" t="s">
        <v>20</v>
      </c>
      <c r="P58" t="s">
        <v>21</v>
      </c>
    </row>
    <row r="59" spans="1:16" x14ac:dyDescent="0.2">
      <c r="A59" t="s">
        <v>159</v>
      </c>
      <c r="B59" t="str" cm="1">
        <f t="array" ref="B59">INDEX(_xlfn.TEXTSPLIT(A59," - "),2)</f>
        <v>creampie</v>
      </c>
      <c r="C59" t="s">
        <v>23</v>
      </c>
      <c r="D59" t="s">
        <v>24</v>
      </c>
      <c r="E59">
        <v>7790136</v>
      </c>
      <c r="F59" t="s">
        <v>18</v>
      </c>
      <c r="G59">
        <v>0</v>
      </c>
      <c r="H59">
        <v>67</v>
      </c>
      <c r="I59">
        <v>1</v>
      </c>
      <c r="J59">
        <v>63.984999999999999</v>
      </c>
      <c r="K59">
        <v>0.104712041884816</v>
      </c>
      <c r="L59">
        <v>0.95499999999999996</v>
      </c>
      <c r="M59">
        <v>0</v>
      </c>
      <c r="N59" t="s">
        <v>19</v>
      </c>
      <c r="O59" t="s">
        <v>20</v>
      </c>
      <c r="P59" t="s">
        <v>21</v>
      </c>
    </row>
    <row r="60" spans="1:16" x14ac:dyDescent="0.2">
      <c r="A60" t="s">
        <v>161</v>
      </c>
      <c r="B60" t="str" cm="1">
        <f t="array" ref="B60">INDEX(_xlfn.TEXTSPLIT(A60," - "),2)</f>
        <v>creampie</v>
      </c>
      <c r="C60" t="s">
        <v>33</v>
      </c>
      <c r="D60" t="s">
        <v>17</v>
      </c>
      <c r="E60">
        <v>7790130</v>
      </c>
      <c r="F60" t="s">
        <v>18</v>
      </c>
      <c r="G60">
        <v>0</v>
      </c>
      <c r="H60">
        <v>188</v>
      </c>
      <c r="I60">
        <v>1</v>
      </c>
      <c r="J60">
        <v>41.857999999999997</v>
      </c>
      <c r="K60">
        <v>0.44913756032299601</v>
      </c>
      <c r="L60">
        <v>0.222648936170212</v>
      </c>
      <c r="M60">
        <v>0</v>
      </c>
      <c r="N60" t="s">
        <v>19</v>
      </c>
      <c r="O60" t="s">
        <v>20</v>
      </c>
      <c r="P60" t="s">
        <v>21</v>
      </c>
    </row>
    <row r="61" spans="1:16" x14ac:dyDescent="0.2">
      <c r="A61" t="s">
        <v>162</v>
      </c>
      <c r="B61" t="str" cm="1">
        <f t="array" ref="B61">INDEX(_xlfn.TEXTSPLIT(A61," - "),2)</f>
        <v>creampie</v>
      </c>
      <c r="C61" t="s">
        <v>33</v>
      </c>
      <c r="D61" t="s">
        <v>17</v>
      </c>
      <c r="E61">
        <v>7790122</v>
      </c>
      <c r="F61" t="s">
        <v>18</v>
      </c>
      <c r="G61">
        <v>0</v>
      </c>
      <c r="H61">
        <v>19</v>
      </c>
      <c r="I61">
        <v>1</v>
      </c>
      <c r="J61">
        <v>8.31</v>
      </c>
      <c r="K61">
        <v>0.228640192539109</v>
      </c>
      <c r="L61">
        <v>0.43736842105263102</v>
      </c>
      <c r="M61">
        <v>0</v>
      </c>
      <c r="N61" t="s">
        <v>19</v>
      </c>
      <c r="O61" t="s">
        <v>20</v>
      </c>
      <c r="P61" t="s">
        <v>21</v>
      </c>
    </row>
    <row r="62" spans="1:16" x14ac:dyDescent="0.2">
      <c r="A62" t="s">
        <v>163</v>
      </c>
      <c r="B62" t="str" cm="1">
        <f t="array" ref="B62">INDEX(_xlfn.TEXTSPLIT(A62," - "),2)</f>
        <v>edging</v>
      </c>
      <c r="C62" t="s">
        <v>23</v>
      </c>
      <c r="D62" t="s">
        <v>24</v>
      </c>
      <c r="E62">
        <v>7790118</v>
      </c>
      <c r="F62" t="s">
        <v>18</v>
      </c>
      <c r="G62">
        <v>0</v>
      </c>
      <c r="H62">
        <v>770</v>
      </c>
      <c r="I62">
        <v>0.48578100499031901</v>
      </c>
      <c r="J62">
        <v>58.212109389999902</v>
      </c>
      <c r="K62">
        <v>0.642566259429868</v>
      </c>
      <c r="L62">
        <v>7.5600142064934997E-2</v>
      </c>
      <c r="M62">
        <v>0</v>
      </c>
      <c r="N62" t="s">
        <v>19</v>
      </c>
      <c r="O62" t="s">
        <v>20</v>
      </c>
      <c r="P62" t="s">
        <v>21</v>
      </c>
    </row>
    <row r="63" spans="1:16" x14ac:dyDescent="0.2">
      <c r="A63" t="s">
        <v>168</v>
      </c>
      <c r="B63" t="str" cm="1">
        <f t="array" ref="B63">INDEX(_xlfn.TEXTSPLIT(A63," - "),2)</f>
        <v>stepsister</v>
      </c>
      <c r="C63" t="s">
        <v>23</v>
      </c>
      <c r="D63" t="s">
        <v>24</v>
      </c>
      <c r="E63">
        <v>7762950</v>
      </c>
      <c r="F63" t="s">
        <v>18</v>
      </c>
      <c r="G63">
        <v>0</v>
      </c>
      <c r="H63">
        <v>3070</v>
      </c>
      <c r="I63">
        <v>0.55679748884836699</v>
      </c>
      <c r="J63">
        <v>133.43707499999999</v>
      </c>
      <c r="K63">
        <v>1.2810294970603</v>
      </c>
      <c r="L63">
        <v>4.3464845276872902E-2</v>
      </c>
      <c r="M63">
        <v>0</v>
      </c>
      <c r="N63" t="s">
        <v>19</v>
      </c>
      <c r="O63" t="s">
        <v>20</v>
      </c>
      <c r="P63" t="s">
        <v>21</v>
      </c>
    </row>
    <row r="64" spans="1:16" x14ac:dyDescent="0.2">
      <c r="A64" t="s">
        <v>169</v>
      </c>
      <c r="B64" t="str" cm="1">
        <f t="array" ref="B64">INDEX(_xlfn.TEXTSPLIT(A64," - "),2)</f>
        <v>stepsister</v>
      </c>
      <c r="C64" t="s">
        <v>33</v>
      </c>
      <c r="D64" t="s">
        <v>17</v>
      </c>
      <c r="E64">
        <v>7762944</v>
      </c>
      <c r="F64" t="s">
        <v>18</v>
      </c>
      <c r="G64">
        <v>0</v>
      </c>
      <c r="H64">
        <v>12</v>
      </c>
      <c r="I64">
        <v>0.33005349049282101</v>
      </c>
      <c r="J64">
        <v>1.7010956899999901</v>
      </c>
      <c r="K64">
        <v>0.23282887077997599</v>
      </c>
      <c r="L64">
        <v>0.141757974166666</v>
      </c>
      <c r="M64">
        <v>0</v>
      </c>
      <c r="N64" t="s">
        <v>19</v>
      </c>
      <c r="O64" t="s">
        <v>20</v>
      </c>
      <c r="P64" t="s">
        <v>21</v>
      </c>
    </row>
    <row r="65" spans="1:16" x14ac:dyDescent="0.2">
      <c r="A65" t="s">
        <v>170</v>
      </c>
      <c r="B65" t="str" cm="1">
        <f t="array" ref="B65">INDEX(_xlfn.TEXTSPLIT(A65," - "),2)</f>
        <v>stepsister</v>
      </c>
      <c r="C65" t="s">
        <v>23</v>
      </c>
      <c r="D65" t="s">
        <v>24</v>
      </c>
      <c r="E65">
        <v>7762942</v>
      </c>
      <c r="F65" t="s">
        <v>18</v>
      </c>
      <c r="G65">
        <v>0</v>
      </c>
      <c r="H65">
        <v>1520</v>
      </c>
      <c r="I65">
        <v>0.43123991253810501</v>
      </c>
      <c r="J65">
        <v>98.316231459999997</v>
      </c>
      <c r="K65">
        <v>0.66671052920148199</v>
      </c>
      <c r="L65">
        <v>6.4681731223684202E-2</v>
      </c>
      <c r="M65">
        <v>0</v>
      </c>
      <c r="N65" t="s">
        <v>19</v>
      </c>
      <c r="O65" t="s">
        <v>20</v>
      </c>
      <c r="P65" t="s">
        <v>21</v>
      </c>
    </row>
    <row r="66" spans="1:16" x14ac:dyDescent="0.2">
      <c r="A66" t="s">
        <v>171</v>
      </c>
      <c r="B66" t="str" cm="1">
        <f t="array" ref="B66">INDEX(_xlfn.TEXTSPLIT(A66," - "),2)</f>
        <v>stepsister</v>
      </c>
      <c r="C66" t="s">
        <v>23</v>
      </c>
      <c r="D66" t="s">
        <v>24</v>
      </c>
      <c r="E66">
        <v>7762940</v>
      </c>
      <c r="F66" t="s">
        <v>18</v>
      </c>
      <c r="G66">
        <v>0</v>
      </c>
      <c r="H66">
        <v>910</v>
      </c>
      <c r="I66">
        <v>0.60310652080209004</v>
      </c>
      <c r="J66">
        <v>201.48401715</v>
      </c>
      <c r="K66">
        <v>0.272392292794774</v>
      </c>
      <c r="L66">
        <v>0.22141100785714199</v>
      </c>
      <c r="M66">
        <v>0</v>
      </c>
      <c r="N66" t="s">
        <v>19</v>
      </c>
      <c r="O66" t="s">
        <v>20</v>
      </c>
      <c r="P66" t="s">
        <v>21</v>
      </c>
    </row>
    <row r="67" spans="1:16" x14ac:dyDescent="0.2">
      <c r="A67" t="s">
        <v>172</v>
      </c>
      <c r="B67" t="str" cm="1">
        <f t="array" ref="B67">INDEX(_xlfn.TEXTSPLIT(A67," - "),2)</f>
        <v>stepsister</v>
      </c>
      <c r="C67" t="s">
        <v>33</v>
      </c>
      <c r="D67" t="s">
        <v>17</v>
      </c>
      <c r="E67">
        <v>7762936</v>
      </c>
      <c r="F67" t="s">
        <v>18</v>
      </c>
      <c r="G67">
        <v>0</v>
      </c>
      <c r="H67">
        <v>14</v>
      </c>
      <c r="I67">
        <v>1</v>
      </c>
      <c r="J67">
        <v>5.117</v>
      </c>
      <c r="K67">
        <v>0.27359781121750998</v>
      </c>
      <c r="L67">
        <v>0.36549999999999999</v>
      </c>
      <c r="M67">
        <v>0</v>
      </c>
      <c r="N67" t="s">
        <v>19</v>
      </c>
      <c r="O67" t="s">
        <v>20</v>
      </c>
      <c r="P67" t="s">
        <v>21</v>
      </c>
    </row>
    <row r="68" spans="1:16" x14ac:dyDescent="0.2">
      <c r="A68" t="s">
        <v>173</v>
      </c>
      <c r="B68" t="str" cm="1">
        <f t="array" ref="B68">INDEX(_xlfn.TEXTSPLIT(A68," - "),2)</f>
        <v>stepsister</v>
      </c>
      <c r="C68" t="s">
        <v>33</v>
      </c>
      <c r="D68" t="s">
        <v>17</v>
      </c>
      <c r="E68">
        <v>7762930</v>
      </c>
      <c r="F68" t="s">
        <v>18</v>
      </c>
      <c r="G68">
        <v>0</v>
      </c>
      <c r="H68">
        <v>2</v>
      </c>
      <c r="I68">
        <v>1</v>
      </c>
      <c r="J68">
        <v>0.84399999999999997</v>
      </c>
      <c r="K68">
        <v>0.23696682464454899</v>
      </c>
      <c r="L68">
        <v>0.42199999999999999</v>
      </c>
      <c r="M68">
        <v>0</v>
      </c>
      <c r="N68" t="s">
        <v>19</v>
      </c>
      <c r="O68" t="s">
        <v>20</v>
      </c>
      <c r="P68" t="s">
        <v>21</v>
      </c>
    </row>
    <row r="69" spans="1:16" x14ac:dyDescent="0.2">
      <c r="A69" t="s">
        <v>174</v>
      </c>
      <c r="B69" t="str" cm="1">
        <f t="array" ref="B69">INDEX(_xlfn.TEXTSPLIT(A69," - "),2)</f>
        <v>stepsister</v>
      </c>
      <c r="C69" t="s">
        <v>33</v>
      </c>
      <c r="D69" t="s">
        <v>17</v>
      </c>
      <c r="E69">
        <v>7762928</v>
      </c>
      <c r="F69" t="s">
        <v>18</v>
      </c>
      <c r="G69">
        <v>0</v>
      </c>
      <c r="H69">
        <v>9</v>
      </c>
      <c r="I69">
        <v>1</v>
      </c>
      <c r="J69">
        <v>3.42</v>
      </c>
      <c r="K69">
        <v>0.26315789473684198</v>
      </c>
      <c r="L69">
        <v>0.38</v>
      </c>
      <c r="M69">
        <v>0</v>
      </c>
      <c r="N69" t="s">
        <v>19</v>
      </c>
      <c r="O69" t="s">
        <v>20</v>
      </c>
      <c r="P69" t="s">
        <v>21</v>
      </c>
    </row>
    <row r="70" spans="1:16" x14ac:dyDescent="0.2">
      <c r="A70" t="s">
        <v>176</v>
      </c>
      <c r="B70" t="str" cm="1">
        <f t="array" ref="B70">INDEX(_xlfn.TEXTSPLIT(A70," - "),2)</f>
        <v>stepsister</v>
      </c>
      <c r="C70" t="s">
        <v>33</v>
      </c>
      <c r="D70" t="s">
        <v>17</v>
      </c>
      <c r="E70">
        <v>7762914</v>
      </c>
      <c r="F70" t="s">
        <v>18</v>
      </c>
      <c r="G70">
        <v>0</v>
      </c>
      <c r="H70">
        <v>90</v>
      </c>
      <c r="I70">
        <v>1</v>
      </c>
      <c r="J70">
        <v>32.645000000000003</v>
      </c>
      <c r="K70">
        <v>0.275693061724613</v>
      </c>
      <c r="L70">
        <v>0.362722222222222</v>
      </c>
      <c r="M70">
        <v>0</v>
      </c>
      <c r="N70" t="s">
        <v>19</v>
      </c>
      <c r="O70" t="s">
        <v>20</v>
      </c>
      <c r="P70" t="s">
        <v>21</v>
      </c>
    </row>
    <row r="71" spans="1:16" x14ac:dyDescent="0.2">
      <c r="A71" t="s">
        <v>177</v>
      </c>
      <c r="B71" t="str" cm="1">
        <f t="array" ref="B71">INDEX(_xlfn.TEXTSPLIT(A71," - "),2)</f>
        <v>stepsister</v>
      </c>
      <c r="C71" t="s">
        <v>33</v>
      </c>
      <c r="D71" t="s">
        <v>17</v>
      </c>
      <c r="E71">
        <v>7762912</v>
      </c>
      <c r="F71" t="s">
        <v>18</v>
      </c>
      <c r="G71">
        <v>0</v>
      </c>
      <c r="H71">
        <v>156</v>
      </c>
      <c r="I71">
        <v>1</v>
      </c>
      <c r="J71">
        <v>12.612</v>
      </c>
      <c r="K71">
        <v>1.23691722169362</v>
      </c>
      <c r="L71">
        <v>8.0846153846153804E-2</v>
      </c>
      <c r="M71">
        <v>0</v>
      </c>
      <c r="N71" t="s">
        <v>19</v>
      </c>
      <c r="O71" t="s">
        <v>20</v>
      </c>
      <c r="P71" t="s">
        <v>21</v>
      </c>
    </row>
    <row r="72" spans="1:16" x14ac:dyDescent="0.2">
      <c r="A72" t="s">
        <v>179</v>
      </c>
      <c r="B72" t="str" cm="1">
        <f t="array" ref="B72">INDEX(_xlfn.TEXTSPLIT(A72," - "),2)</f>
        <v>stepsister</v>
      </c>
      <c r="C72" t="s">
        <v>33</v>
      </c>
      <c r="D72" t="s">
        <v>17</v>
      </c>
      <c r="E72">
        <v>7762906</v>
      </c>
      <c r="F72" t="s">
        <v>18</v>
      </c>
      <c r="G72">
        <v>0</v>
      </c>
      <c r="H72">
        <v>8</v>
      </c>
      <c r="I72">
        <v>1</v>
      </c>
      <c r="J72">
        <v>3.6349999999999998</v>
      </c>
      <c r="K72">
        <v>0.22008253094910499</v>
      </c>
      <c r="L72">
        <v>0.45437499999999997</v>
      </c>
      <c r="M72">
        <v>0</v>
      </c>
      <c r="N72" t="s">
        <v>19</v>
      </c>
      <c r="O72" t="s">
        <v>20</v>
      </c>
      <c r="P72" t="s">
        <v>21</v>
      </c>
    </row>
    <row r="73" spans="1:16" x14ac:dyDescent="0.2">
      <c r="A73" t="s">
        <v>180</v>
      </c>
      <c r="B73" t="str" cm="1">
        <f t="array" ref="B73">INDEX(_xlfn.TEXTSPLIT(A73," - "),2)</f>
        <v>stepsister</v>
      </c>
      <c r="C73" t="s">
        <v>33</v>
      </c>
      <c r="D73" t="s">
        <v>17</v>
      </c>
      <c r="E73">
        <v>7762904</v>
      </c>
      <c r="F73" t="s">
        <v>18</v>
      </c>
      <c r="G73">
        <v>0</v>
      </c>
      <c r="H73">
        <v>6</v>
      </c>
      <c r="I73">
        <v>1</v>
      </c>
      <c r="J73">
        <v>7.5579999999999998</v>
      </c>
      <c r="K73">
        <v>7.9386080973802495E-2</v>
      </c>
      <c r="L73">
        <v>1.2596666666666601</v>
      </c>
      <c r="M73">
        <v>0</v>
      </c>
      <c r="N73" t="s">
        <v>19</v>
      </c>
      <c r="O73" t="s">
        <v>20</v>
      </c>
      <c r="P73" t="s">
        <v>21</v>
      </c>
    </row>
    <row r="74" spans="1:16" x14ac:dyDescent="0.2">
      <c r="A74" t="s">
        <v>182</v>
      </c>
      <c r="B74" t="str" cm="1">
        <f t="array" ref="B74">INDEX(_xlfn.TEXTSPLIT(A74," - "),2)</f>
        <v>stepsister</v>
      </c>
      <c r="C74" t="s">
        <v>33</v>
      </c>
      <c r="D74" t="s">
        <v>17</v>
      </c>
      <c r="E74">
        <v>7762898</v>
      </c>
      <c r="F74" t="s">
        <v>18</v>
      </c>
      <c r="G74">
        <v>0</v>
      </c>
      <c r="H74">
        <v>35</v>
      </c>
      <c r="I74">
        <v>0.999999999999999</v>
      </c>
      <c r="J74">
        <v>7.3329999999999904</v>
      </c>
      <c r="K74">
        <v>0.47729442247374798</v>
      </c>
      <c r="L74">
        <v>0.20951428571428499</v>
      </c>
      <c r="M74">
        <v>0</v>
      </c>
      <c r="N74" t="s">
        <v>19</v>
      </c>
      <c r="O74" t="s">
        <v>20</v>
      </c>
      <c r="P74" t="s">
        <v>21</v>
      </c>
    </row>
    <row r="75" spans="1:16" x14ac:dyDescent="0.2">
      <c r="A75" t="s">
        <v>183</v>
      </c>
      <c r="B75" t="str" cm="1">
        <f t="array" ref="B75">INDEX(_xlfn.TEXTSPLIT(A75," - "),2)</f>
        <v>stepsister</v>
      </c>
      <c r="C75" t="s">
        <v>33</v>
      </c>
      <c r="D75" t="s">
        <v>17</v>
      </c>
      <c r="E75">
        <v>7762890</v>
      </c>
      <c r="F75" t="s">
        <v>18</v>
      </c>
      <c r="G75">
        <v>0</v>
      </c>
      <c r="H75">
        <v>12</v>
      </c>
      <c r="I75">
        <v>1</v>
      </c>
      <c r="J75">
        <v>4.66</v>
      </c>
      <c r="K75">
        <v>0.257510729613733</v>
      </c>
      <c r="L75">
        <v>0.38833333333333298</v>
      </c>
      <c r="M75">
        <v>0</v>
      </c>
      <c r="N75" t="s">
        <v>19</v>
      </c>
      <c r="O75" t="s">
        <v>20</v>
      </c>
      <c r="P75" t="s">
        <v>21</v>
      </c>
    </row>
    <row r="76" spans="1:16" x14ac:dyDescent="0.2">
      <c r="A76" t="s">
        <v>184</v>
      </c>
      <c r="B76" t="str" cm="1">
        <f t="array" ref="B76">INDEX(_xlfn.TEXTSPLIT(A76," - "),2)</f>
        <v>pov</v>
      </c>
      <c r="C76" t="s">
        <v>23</v>
      </c>
      <c r="D76" t="s">
        <v>24</v>
      </c>
      <c r="E76">
        <v>7762888</v>
      </c>
      <c r="F76" t="s">
        <v>18</v>
      </c>
      <c r="G76">
        <v>0</v>
      </c>
      <c r="H76">
        <v>3107</v>
      </c>
      <c r="I76">
        <v>0.56480906800152497</v>
      </c>
      <c r="J76">
        <v>121.46444931000001</v>
      </c>
      <c r="K76">
        <v>1.4447534107712401</v>
      </c>
      <c r="L76">
        <v>3.9093804090762699E-2</v>
      </c>
      <c r="M76">
        <v>0</v>
      </c>
      <c r="N76" t="s">
        <v>19</v>
      </c>
      <c r="O76" t="s">
        <v>20</v>
      </c>
      <c r="P76" t="s">
        <v>21</v>
      </c>
    </row>
    <row r="77" spans="1:16" x14ac:dyDescent="0.2">
      <c r="A77" t="s">
        <v>185</v>
      </c>
      <c r="B77" t="str" cm="1">
        <f t="array" ref="B77">INDEX(_xlfn.TEXTSPLIT(A77," - "),2)</f>
        <v>pov</v>
      </c>
      <c r="C77" t="s">
        <v>33</v>
      </c>
      <c r="D77" t="s">
        <v>17</v>
      </c>
      <c r="E77">
        <v>7762880</v>
      </c>
      <c r="F77" t="s">
        <v>18</v>
      </c>
      <c r="G77">
        <v>0</v>
      </c>
      <c r="H77">
        <v>353</v>
      </c>
      <c r="I77">
        <v>0.47530543712312401</v>
      </c>
      <c r="J77">
        <v>45.559927369999997</v>
      </c>
      <c r="K77">
        <v>0.36826840820414303</v>
      </c>
      <c r="L77">
        <v>0.129064950056657</v>
      </c>
      <c r="M77">
        <v>0</v>
      </c>
      <c r="N77" t="s">
        <v>19</v>
      </c>
      <c r="O77" t="s">
        <v>20</v>
      </c>
      <c r="P77" t="s">
        <v>21</v>
      </c>
    </row>
    <row r="78" spans="1:16" x14ac:dyDescent="0.2">
      <c r="A78" t="s">
        <v>186</v>
      </c>
      <c r="B78" t="str" cm="1">
        <f t="array" ref="B78">INDEX(_xlfn.TEXTSPLIT(A78," - "),2)</f>
        <v>pov</v>
      </c>
      <c r="C78" t="s">
        <v>23</v>
      </c>
      <c r="D78" t="s">
        <v>24</v>
      </c>
      <c r="E78">
        <v>7762878</v>
      </c>
      <c r="F78" t="s">
        <v>18</v>
      </c>
      <c r="G78">
        <v>0</v>
      </c>
      <c r="H78">
        <v>1449</v>
      </c>
      <c r="I78">
        <v>0.51289020107815397</v>
      </c>
      <c r="J78">
        <v>106.08364474</v>
      </c>
      <c r="K78">
        <v>0.70055841612879799</v>
      </c>
      <c r="L78">
        <v>7.3211625079365003E-2</v>
      </c>
      <c r="M78">
        <v>0</v>
      </c>
      <c r="N78" t="s">
        <v>19</v>
      </c>
      <c r="O78" t="s">
        <v>20</v>
      </c>
      <c r="P78" t="s">
        <v>21</v>
      </c>
    </row>
    <row r="79" spans="1:16" x14ac:dyDescent="0.2">
      <c r="A79" t="s">
        <v>188</v>
      </c>
      <c r="B79" t="str" cm="1">
        <f t="array" ref="B79">INDEX(_xlfn.TEXTSPLIT(A79," - "),2)</f>
        <v>pov</v>
      </c>
      <c r="C79" t="s">
        <v>33</v>
      </c>
      <c r="D79" t="s">
        <v>17</v>
      </c>
      <c r="E79">
        <v>7762872</v>
      </c>
      <c r="F79" t="s">
        <v>18</v>
      </c>
      <c r="G79">
        <v>0</v>
      </c>
      <c r="H79">
        <v>17</v>
      </c>
      <c r="I79">
        <v>1</v>
      </c>
      <c r="J79">
        <v>5.53</v>
      </c>
      <c r="K79">
        <v>0.30741410488245902</v>
      </c>
      <c r="L79">
        <v>0.32529411764705801</v>
      </c>
      <c r="M79">
        <v>0</v>
      </c>
      <c r="N79" t="s">
        <v>19</v>
      </c>
      <c r="O79" t="s">
        <v>20</v>
      </c>
      <c r="P79" t="s">
        <v>21</v>
      </c>
    </row>
    <row r="80" spans="1:16" x14ac:dyDescent="0.2">
      <c r="A80" t="s">
        <v>189</v>
      </c>
      <c r="B80" t="str" cm="1">
        <f t="array" ref="B80">INDEX(_xlfn.TEXTSPLIT(A80," - "),2)</f>
        <v>pov</v>
      </c>
      <c r="C80" t="s">
        <v>33</v>
      </c>
      <c r="D80" t="s">
        <v>17</v>
      </c>
      <c r="E80">
        <v>7762868</v>
      </c>
      <c r="F80" t="s">
        <v>18</v>
      </c>
      <c r="G80">
        <v>0</v>
      </c>
      <c r="H80">
        <v>4</v>
      </c>
      <c r="I80">
        <v>1</v>
      </c>
      <c r="J80">
        <v>1.698</v>
      </c>
      <c r="K80">
        <v>0.23557126030624201</v>
      </c>
      <c r="L80">
        <v>0.42449999999999999</v>
      </c>
      <c r="M80">
        <v>0</v>
      </c>
      <c r="N80" t="s">
        <v>19</v>
      </c>
      <c r="O80" t="s">
        <v>20</v>
      </c>
      <c r="P80" t="s">
        <v>21</v>
      </c>
    </row>
    <row r="81" spans="1:16" x14ac:dyDescent="0.2">
      <c r="A81" t="s">
        <v>192</v>
      </c>
      <c r="B81" t="str" cm="1">
        <f t="array" ref="B81">INDEX(_xlfn.TEXTSPLIT(A81," - "),2)</f>
        <v>pov</v>
      </c>
      <c r="C81" t="s">
        <v>33</v>
      </c>
      <c r="D81" t="s">
        <v>17</v>
      </c>
      <c r="E81">
        <v>7762856</v>
      </c>
      <c r="F81" t="s">
        <v>18</v>
      </c>
      <c r="G81">
        <v>0</v>
      </c>
      <c r="H81">
        <v>4</v>
      </c>
      <c r="I81">
        <v>1</v>
      </c>
      <c r="J81">
        <v>2.4630000000000001</v>
      </c>
      <c r="K81">
        <v>0.16240357287860299</v>
      </c>
      <c r="L81">
        <v>0.61575000000000002</v>
      </c>
      <c r="M81">
        <v>0</v>
      </c>
      <c r="N81" t="s">
        <v>19</v>
      </c>
      <c r="O81" t="s">
        <v>20</v>
      </c>
      <c r="P81" t="s">
        <v>21</v>
      </c>
    </row>
    <row r="82" spans="1:16" x14ac:dyDescent="0.2">
      <c r="A82" t="s">
        <v>193</v>
      </c>
      <c r="B82" t="str" cm="1">
        <f t="array" ref="B82">INDEX(_xlfn.TEXTSPLIT(A82," - "),2)</f>
        <v>pov</v>
      </c>
      <c r="C82" t="s">
        <v>23</v>
      </c>
      <c r="D82" t="s">
        <v>24</v>
      </c>
      <c r="E82">
        <v>7762854</v>
      </c>
      <c r="F82" t="s">
        <v>18</v>
      </c>
      <c r="G82">
        <v>0</v>
      </c>
      <c r="H82">
        <v>99</v>
      </c>
      <c r="I82">
        <v>1</v>
      </c>
      <c r="J82">
        <v>51.216000000000001</v>
      </c>
      <c r="K82">
        <v>0.19329896907216401</v>
      </c>
      <c r="L82">
        <v>0.51733333333333298</v>
      </c>
      <c r="M82">
        <v>0</v>
      </c>
      <c r="N82" t="s">
        <v>19</v>
      </c>
      <c r="O82" t="s">
        <v>20</v>
      </c>
      <c r="P82" t="s">
        <v>21</v>
      </c>
    </row>
    <row r="83" spans="1:16" x14ac:dyDescent="0.2">
      <c r="A83" t="s">
        <v>195</v>
      </c>
      <c r="B83" t="str" cm="1">
        <f t="array" ref="B83">INDEX(_xlfn.TEXTSPLIT(A83," - "),2)</f>
        <v>pov</v>
      </c>
      <c r="C83" t="s">
        <v>33</v>
      </c>
      <c r="D83" t="s">
        <v>17</v>
      </c>
      <c r="E83">
        <v>7762850</v>
      </c>
      <c r="F83" t="s">
        <v>18</v>
      </c>
      <c r="G83">
        <v>0</v>
      </c>
      <c r="H83">
        <v>801</v>
      </c>
      <c r="I83">
        <v>1</v>
      </c>
      <c r="J83">
        <v>69.281000000000006</v>
      </c>
      <c r="K83">
        <v>1.1561611408611301</v>
      </c>
      <c r="L83">
        <v>8.6493133583021201E-2</v>
      </c>
      <c r="M83">
        <v>0</v>
      </c>
      <c r="N83" t="s">
        <v>19</v>
      </c>
      <c r="O83" t="s">
        <v>20</v>
      </c>
      <c r="P83" t="s">
        <v>21</v>
      </c>
    </row>
    <row r="84" spans="1:16" x14ac:dyDescent="0.2">
      <c r="A84" t="s">
        <v>200</v>
      </c>
      <c r="B84" t="str" cm="1">
        <f t="array" ref="B84">INDEX(_xlfn.TEXTSPLIT(A84," - "),2)</f>
        <v>pov</v>
      </c>
      <c r="C84" t="s">
        <v>33</v>
      </c>
      <c r="D84" t="s">
        <v>17</v>
      </c>
      <c r="E84">
        <v>7762826</v>
      </c>
      <c r="F84" t="s">
        <v>18</v>
      </c>
      <c r="G84">
        <v>0</v>
      </c>
      <c r="H84">
        <v>26</v>
      </c>
      <c r="I84">
        <v>1</v>
      </c>
      <c r="J84">
        <v>7.3239999999999998</v>
      </c>
      <c r="K84">
        <v>0.35499726925177499</v>
      </c>
      <c r="L84">
        <v>0.28169230769230702</v>
      </c>
      <c r="M84">
        <v>0</v>
      </c>
      <c r="N84" t="s">
        <v>19</v>
      </c>
      <c r="O84" t="s">
        <v>20</v>
      </c>
      <c r="P84" t="s">
        <v>21</v>
      </c>
    </row>
    <row r="85" spans="1:16" x14ac:dyDescent="0.2">
      <c r="A85" t="s">
        <v>203</v>
      </c>
      <c r="B85" t="str" cm="1">
        <f t="array" ref="B85">INDEX(_xlfn.TEXTSPLIT(A85," - "),2)</f>
        <v>threesome</v>
      </c>
      <c r="C85" t="s">
        <v>33</v>
      </c>
      <c r="D85" t="s">
        <v>17</v>
      </c>
      <c r="E85">
        <v>7762818</v>
      </c>
      <c r="F85" t="s">
        <v>18</v>
      </c>
      <c r="G85">
        <v>0</v>
      </c>
      <c r="H85">
        <v>189</v>
      </c>
      <c r="I85">
        <v>0.43558791030736299</v>
      </c>
      <c r="J85">
        <v>18.52250471</v>
      </c>
      <c r="K85">
        <v>0.44446534816452199</v>
      </c>
      <c r="L85">
        <v>9.8002670423280397E-2</v>
      </c>
      <c r="M85">
        <v>0</v>
      </c>
      <c r="N85" t="s">
        <v>19</v>
      </c>
      <c r="O85" t="s">
        <v>20</v>
      </c>
      <c r="P85" t="s">
        <v>21</v>
      </c>
    </row>
    <row r="86" spans="1:16" x14ac:dyDescent="0.2">
      <c r="A86" t="s">
        <v>206</v>
      </c>
      <c r="B86" t="str" cm="1">
        <f t="array" ref="B86">INDEX(_xlfn.TEXTSPLIT(A86," - "),2)</f>
        <v>threesome</v>
      </c>
      <c r="C86" t="s">
        <v>33</v>
      </c>
      <c r="D86" t="s">
        <v>17</v>
      </c>
      <c r="E86">
        <v>7762810</v>
      </c>
      <c r="F86" t="s">
        <v>18</v>
      </c>
      <c r="G86">
        <v>0</v>
      </c>
      <c r="H86">
        <v>17</v>
      </c>
      <c r="I86">
        <v>1</v>
      </c>
      <c r="J86">
        <v>4.8620000000000001</v>
      </c>
      <c r="K86">
        <v>0.34965034965034902</v>
      </c>
      <c r="L86">
        <v>0.28599999999999998</v>
      </c>
      <c r="M86">
        <v>0</v>
      </c>
      <c r="N86" t="s">
        <v>19</v>
      </c>
      <c r="O86" t="s">
        <v>20</v>
      </c>
      <c r="P86" t="s">
        <v>21</v>
      </c>
    </row>
    <row r="87" spans="1:16" x14ac:dyDescent="0.2">
      <c r="A87" t="s">
        <v>207</v>
      </c>
      <c r="B87" t="str" cm="1">
        <f t="array" ref="B87">INDEX(_xlfn.TEXTSPLIT(A87," - "),2)</f>
        <v>threesome</v>
      </c>
      <c r="C87" t="s">
        <v>33</v>
      </c>
      <c r="D87" t="s">
        <v>17</v>
      </c>
      <c r="E87">
        <v>7762804</v>
      </c>
      <c r="F87" t="s">
        <v>18</v>
      </c>
      <c r="G87">
        <v>0</v>
      </c>
      <c r="H87">
        <v>4</v>
      </c>
      <c r="I87">
        <v>1</v>
      </c>
      <c r="J87">
        <v>2.395</v>
      </c>
      <c r="K87">
        <v>0.167014613778705</v>
      </c>
      <c r="L87">
        <v>0.59875</v>
      </c>
      <c r="M87">
        <v>0</v>
      </c>
      <c r="N87" t="s">
        <v>19</v>
      </c>
      <c r="O87" t="s">
        <v>20</v>
      </c>
      <c r="P87" t="s">
        <v>21</v>
      </c>
    </row>
    <row r="88" spans="1:16" x14ac:dyDescent="0.2">
      <c r="A88" t="s">
        <v>208</v>
      </c>
      <c r="B88" t="str" cm="1">
        <f t="array" ref="B88">INDEX(_xlfn.TEXTSPLIT(A88," - "),2)</f>
        <v>threesome</v>
      </c>
      <c r="C88" t="s">
        <v>33</v>
      </c>
      <c r="D88" t="s">
        <v>17</v>
      </c>
      <c r="E88">
        <v>7762802</v>
      </c>
      <c r="F88" t="s">
        <v>18</v>
      </c>
      <c r="G88">
        <v>0</v>
      </c>
      <c r="H88">
        <v>8</v>
      </c>
      <c r="I88">
        <v>1</v>
      </c>
      <c r="J88">
        <v>3.8730000000000002</v>
      </c>
      <c r="K88">
        <v>0.206558223599277</v>
      </c>
      <c r="L88">
        <v>0.48412500000000003</v>
      </c>
      <c r="M88">
        <v>0</v>
      </c>
      <c r="N88" t="s">
        <v>19</v>
      </c>
      <c r="O88" t="s">
        <v>20</v>
      </c>
      <c r="P88" t="s">
        <v>21</v>
      </c>
    </row>
    <row r="89" spans="1:16" x14ac:dyDescent="0.2">
      <c r="A89" t="s">
        <v>210</v>
      </c>
      <c r="B89" t="str" cm="1">
        <f t="array" ref="B89">INDEX(_xlfn.TEXTSPLIT(A89," - "),2)</f>
        <v>threesome</v>
      </c>
      <c r="C89" t="s">
        <v>33</v>
      </c>
      <c r="D89" t="s">
        <v>17</v>
      </c>
      <c r="E89">
        <v>7762792</v>
      </c>
      <c r="F89" t="s">
        <v>18</v>
      </c>
      <c r="G89">
        <v>0</v>
      </c>
      <c r="H89">
        <v>68</v>
      </c>
      <c r="I89">
        <v>1</v>
      </c>
      <c r="J89">
        <v>27.456</v>
      </c>
      <c r="K89">
        <v>0.247668997668997</v>
      </c>
      <c r="L89">
        <v>0.40376470588235203</v>
      </c>
      <c r="M89">
        <v>0</v>
      </c>
      <c r="N89" t="s">
        <v>19</v>
      </c>
      <c r="O89" t="s">
        <v>20</v>
      </c>
      <c r="P89" t="s">
        <v>21</v>
      </c>
    </row>
    <row r="90" spans="1:16" x14ac:dyDescent="0.2">
      <c r="A90" t="s">
        <v>211</v>
      </c>
      <c r="B90" t="str" cm="1">
        <f t="array" ref="B90">INDEX(_xlfn.TEXTSPLIT(A90," - "),2)</f>
        <v>threesome</v>
      </c>
      <c r="C90" t="s">
        <v>33</v>
      </c>
      <c r="D90" t="s">
        <v>17</v>
      </c>
      <c r="E90">
        <v>7762790</v>
      </c>
      <c r="F90" t="s">
        <v>18</v>
      </c>
      <c r="G90">
        <v>0</v>
      </c>
      <c r="H90">
        <v>1</v>
      </c>
      <c r="I90">
        <v>1</v>
      </c>
      <c r="J90">
        <v>1.2769999999999999</v>
      </c>
      <c r="K90">
        <v>7.8308535630383702E-2</v>
      </c>
      <c r="L90">
        <v>1.2769999999999999</v>
      </c>
      <c r="M90">
        <v>0</v>
      </c>
      <c r="N90" t="s">
        <v>19</v>
      </c>
      <c r="O90" t="s">
        <v>20</v>
      </c>
      <c r="P90" t="s">
        <v>21</v>
      </c>
    </row>
    <row r="91" spans="1:16" x14ac:dyDescent="0.2">
      <c r="A91" t="s">
        <v>213</v>
      </c>
      <c r="B91" t="str" cm="1">
        <f t="array" ref="B91">INDEX(_xlfn.TEXTSPLIT(A91," - "),2)</f>
        <v>threesome</v>
      </c>
      <c r="C91" t="s">
        <v>33</v>
      </c>
      <c r="D91" t="s">
        <v>17</v>
      </c>
      <c r="E91">
        <v>7762786</v>
      </c>
      <c r="F91" t="s">
        <v>18</v>
      </c>
      <c r="G91">
        <v>0</v>
      </c>
      <c r="H91">
        <v>262</v>
      </c>
      <c r="I91">
        <v>1</v>
      </c>
      <c r="J91">
        <v>23.324000000000002</v>
      </c>
      <c r="K91">
        <v>1.12330646544332</v>
      </c>
      <c r="L91">
        <v>8.9022900763358698E-2</v>
      </c>
      <c r="M91">
        <v>0</v>
      </c>
      <c r="N91" t="s">
        <v>19</v>
      </c>
      <c r="O91" t="s">
        <v>20</v>
      </c>
      <c r="P91" t="s">
        <v>21</v>
      </c>
    </row>
    <row r="92" spans="1:16" x14ac:dyDescent="0.2">
      <c r="A92" t="s">
        <v>216</v>
      </c>
      <c r="B92" t="str" cm="1">
        <f t="array" ref="B92">INDEX(_xlfn.TEXTSPLIT(A92," - "),2)</f>
        <v>threesome</v>
      </c>
      <c r="C92" t="s">
        <v>33</v>
      </c>
      <c r="D92" t="s">
        <v>17</v>
      </c>
      <c r="E92">
        <v>7762778</v>
      </c>
      <c r="F92" t="s">
        <v>18</v>
      </c>
      <c r="G92">
        <v>0</v>
      </c>
      <c r="H92">
        <v>15</v>
      </c>
      <c r="I92">
        <v>1</v>
      </c>
      <c r="J92">
        <v>9.1519999999999992</v>
      </c>
      <c r="K92">
        <v>0.16389860139860099</v>
      </c>
      <c r="L92">
        <v>0.61013333333333297</v>
      </c>
      <c r="M92">
        <v>0</v>
      </c>
      <c r="N92" t="s">
        <v>19</v>
      </c>
      <c r="O92" t="s">
        <v>20</v>
      </c>
      <c r="P92" t="s">
        <v>21</v>
      </c>
    </row>
    <row r="93" spans="1:16" x14ac:dyDescent="0.2">
      <c r="A93" t="s">
        <v>218</v>
      </c>
      <c r="B93" t="str" cm="1">
        <f t="array" ref="B93">INDEX(_xlfn.TEXTSPLIT(A93," - "),2)</f>
        <v>threesome</v>
      </c>
      <c r="C93" t="s">
        <v>33</v>
      </c>
      <c r="D93" t="s">
        <v>17</v>
      </c>
      <c r="E93">
        <v>7762772</v>
      </c>
      <c r="F93" t="s">
        <v>18</v>
      </c>
      <c r="G93">
        <v>0</v>
      </c>
      <c r="H93">
        <v>20</v>
      </c>
      <c r="I93">
        <v>1</v>
      </c>
      <c r="J93">
        <v>6.2939999999999996</v>
      </c>
      <c r="K93">
        <v>0.31776294884016498</v>
      </c>
      <c r="L93">
        <v>0.31469999999999998</v>
      </c>
      <c r="M93">
        <v>0</v>
      </c>
      <c r="N93" t="s">
        <v>19</v>
      </c>
      <c r="O93" t="s">
        <v>20</v>
      </c>
      <c r="P93" t="s">
        <v>21</v>
      </c>
    </row>
    <row r="94" spans="1:16" x14ac:dyDescent="0.2">
      <c r="A94" t="s">
        <v>219</v>
      </c>
      <c r="B94" t="str" cm="1">
        <f t="array" ref="B94">INDEX(_xlfn.TEXTSPLIT(A94," - "),2)</f>
        <v>threesome</v>
      </c>
      <c r="C94" t="s">
        <v>33</v>
      </c>
      <c r="D94" t="s">
        <v>17</v>
      </c>
      <c r="E94">
        <v>7762764</v>
      </c>
      <c r="F94" t="s">
        <v>18</v>
      </c>
      <c r="G94">
        <v>0</v>
      </c>
      <c r="H94">
        <v>18</v>
      </c>
      <c r="I94">
        <v>1</v>
      </c>
      <c r="J94">
        <v>8.484</v>
      </c>
      <c r="K94">
        <v>0.212164073550212</v>
      </c>
      <c r="L94">
        <v>0.47133333333333299</v>
      </c>
      <c r="M94">
        <v>0</v>
      </c>
      <c r="N94" t="s">
        <v>19</v>
      </c>
      <c r="O94" t="s">
        <v>20</v>
      </c>
      <c r="P94" t="s">
        <v>21</v>
      </c>
    </row>
    <row r="95" spans="1:16" x14ac:dyDescent="0.2">
      <c r="A95" t="s">
        <v>220</v>
      </c>
      <c r="B95" t="str" cm="1">
        <f t="array" ref="B95">INDEX(_xlfn.TEXTSPLIT(A95," - "),2)</f>
        <v>Category: Latina</v>
      </c>
      <c r="C95" t="s">
        <v>23</v>
      </c>
      <c r="D95" t="s">
        <v>24</v>
      </c>
      <c r="E95">
        <v>7762322</v>
      </c>
      <c r="F95" t="s">
        <v>18</v>
      </c>
      <c r="G95">
        <v>0</v>
      </c>
      <c r="H95">
        <v>6684</v>
      </c>
      <c r="I95">
        <v>0.56041889255301203</v>
      </c>
      <c r="J95">
        <v>272.58662850000002</v>
      </c>
      <c r="K95">
        <v>1.3741832820036199</v>
      </c>
      <c r="L95">
        <v>4.0781961175942502E-2</v>
      </c>
      <c r="M95">
        <v>0</v>
      </c>
      <c r="N95" t="s">
        <v>19</v>
      </c>
      <c r="O95" t="s">
        <v>20</v>
      </c>
      <c r="P95" t="s">
        <v>21</v>
      </c>
    </row>
    <row r="96" spans="1:16" x14ac:dyDescent="0.2">
      <c r="A96" t="s">
        <v>222</v>
      </c>
      <c r="B96" t="str" cm="1">
        <f t="array" ref="B96">INDEX(_xlfn.TEXTSPLIT(A96," - "),2)</f>
        <v>Category: Latina</v>
      </c>
      <c r="C96" t="s">
        <v>23</v>
      </c>
      <c r="D96" t="s">
        <v>24</v>
      </c>
      <c r="E96">
        <v>7762314</v>
      </c>
      <c r="F96" t="s">
        <v>18</v>
      </c>
      <c r="G96">
        <v>0</v>
      </c>
      <c r="H96">
        <v>2815</v>
      </c>
      <c r="I96">
        <v>0.44109172176214501</v>
      </c>
      <c r="J96">
        <v>193.98419957999999</v>
      </c>
      <c r="K96">
        <v>0.64008986270470303</v>
      </c>
      <c r="L96">
        <v>6.8910905712255693E-2</v>
      </c>
      <c r="M96">
        <v>0</v>
      </c>
      <c r="N96" t="s">
        <v>19</v>
      </c>
      <c r="O96" t="s">
        <v>20</v>
      </c>
      <c r="P96" t="s">
        <v>21</v>
      </c>
    </row>
    <row r="97" spans="1:16" x14ac:dyDescent="0.2">
      <c r="A97" t="s">
        <v>224</v>
      </c>
      <c r="B97" t="str" cm="1">
        <f t="array" ref="B97">INDEX(_xlfn.TEXTSPLIT(A97," - "),2)</f>
        <v>Category: Latina</v>
      </c>
      <c r="C97" t="s">
        <v>33</v>
      </c>
      <c r="D97" t="s">
        <v>17</v>
      </c>
      <c r="E97">
        <v>7762308</v>
      </c>
      <c r="F97" t="s">
        <v>18</v>
      </c>
      <c r="G97">
        <v>0</v>
      </c>
      <c r="H97">
        <v>24</v>
      </c>
      <c r="I97">
        <v>1</v>
      </c>
      <c r="J97">
        <v>6.835</v>
      </c>
      <c r="K97">
        <v>0.35113386978785599</v>
      </c>
      <c r="L97">
        <v>0.284791666666666</v>
      </c>
      <c r="M97">
        <v>0</v>
      </c>
      <c r="N97" t="s">
        <v>19</v>
      </c>
      <c r="O97" t="s">
        <v>20</v>
      </c>
      <c r="P97" t="s">
        <v>21</v>
      </c>
    </row>
    <row r="98" spans="1:16" x14ac:dyDescent="0.2">
      <c r="A98" t="s">
        <v>225</v>
      </c>
      <c r="B98" t="str" cm="1">
        <f t="array" ref="B98">INDEX(_xlfn.TEXTSPLIT(A98," - "),2)</f>
        <v>Category: Latina</v>
      </c>
      <c r="C98" t="s">
        <v>33</v>
      </c>
      <c r="D98" t="s">
        <v>17</v>
      </c>
      <c r="E98">
        <v>7762304</v>
      </c>
      <c r="F98" t="s">
        <v>18</v>
      </c>
      <c r="G98">
        <v>0</v>
      </c>
      <c r="H98">
        <v>3</v>
      </c>
      <c r="I98">
        <v>1</v>
      </c>
      <c r="J98">
        <v>1.361</v>
      </c>
      <c r="K98">
        <v>0.220426157237325</v>
      </c>
      <c r="L98">
        <v>0.453666666666666</v>
      </c>
      <c r="M98">
        <v>0</v>
      </c>
      <c r="N98" t="s">
        <v>19</v>
      </c>
      <c r="O98" t="s">
        <v>20</v>
      </c>
      <c r="P98" t="s">
        <v>21</v>
      </c>
    </row>
    <row r="99" spans="1:16" x14ac:dyDescent="0.2">
      <c r="A99" t="s">
        <v>226</v>
      </c>
      <c r="B99" t="str" cm="1">
        <f t="array" ref="B99">INDEX(_xlfn.TEXTSPLIT(A99," - "),2)</f>
        <v>Category: Latina</v>
      </c>
      <c r="C99" t="s">
        <v>33</v>
      </c>
      <c r="D99" t="s">
        <v>17</v>
      </c>
      <c r="E99">
        <v>7762302</v>
      </c>
      <c r="F99" t="s">
        <v>18</v>
      </c>
      <c r="G99">
        <v>0</v>
      </c>
      <c r="H99">
        <v>5</v>
      </c>
      <c r="I99">
        <v>1</v>
      </c>
      <c r="J99">
        <v>2.5289999999999999</v>
      </c>
      <c r="K99">
        <v>0.19770660340055299</v>
      </c>
      <c r="L99">
        <v>0.50580000000000003</v>
      </c>
      <c r="M99">
        <v>0</v>
      </c>
      <c r="N99" t="s">
        <v>19</v>
      </c>
      <c r="O99" t="s">
        <v>20</v>
      </c>
      <c r="P99" t="s">
        <v>21</v>
      </c>
    </row>
    <row r="100" spans="1:16" x14ac:dyDescent="0.2">
      <c r="A100" t="s">
        <v>227</v>
      </c>
      <c r="B100" t="str" cm="1">
        <f t="array" ref="B100">INDEX(_xlfn.TEXTSPLIT(A100," - "),2)</f>
        <v>Category: Latina</v>
      </c>
      <c r="C100" t="s">
        <v>33</v>
      </c>
      <c r="D100" t="s">
        <v>17</v>
      </c>
      <c r="E100">
        <v>7762300</v>
      </c>
      <c r="F100" t="s">
        <v>18</v>
      </c>
      <c r="G100">
        <v>0</v>
      </c>
      <c r="H100">
        <v>8</v>
      </c>
      <c r="I100">
        <v>1</v>
      </c>
      <c r="J100">
        <v>4.5979999999999999</v>
      </c>
      <c r="K100">
        <v>0.17398869073510201</v>
      </c>
      <c r="L100">
        <v>0.57474999999999998</v>
      </c>
      <c r="M100">
        <v>0</v>
      </c>
      <c r="N100" t="s">
        <v>19</v>
      </c>
      <c r="O100" t="s">
        <v>20</v>
      </c>
      <c r="P100" t="s">
        <v>21</v>
      </c>
    </row>
    <row r="101" spans="1:16" x14ac:dyDescent="0.2">
      <c r="A101" t="s">
        <v>229</v>
      </c>
      <c r="B101" t="str" cm="1">
        <f t="array" ref="B101">INDEX(_xlfn.TEXTSPLIT(A101," - "),2)</f>
        <v>Category: Latina</v>
      </c>
      <c r="C101" t="s">
        <v>33</v>
      </c>
      <c r="D101" t="s">
        <v>17</v>
      </c>
      <c r="E101">
        <v>7762292</v>
      </c>
      <c r="F101" t="s">
        <v>18</v>
      </c>
      <c r="G101">
        <v>0</v>
      </c>
      <c r="H101">
        <v>3</v>
      </c>
      <c r="I101">
        <v>1</v>
      </c>
      <c r="J101">
        <v>1.875</v>
      </c>
      <c r="K101">
        <v>0.16</v>
      </c>
      <c r="L101">
        <v>0.625</v>
      </c>
      <c r="M101">
        <v>0</v>
      </c>
      <c r="N101" t="s">
        <v>19</v>
      </c>
      <c r="O101" t="s">
        <v>20</v>
      </c>
      <c r="P101" t="s">
        <v>21</v>
      </c>
    </row>
    <row r="102" spans="1:16" x14ac:dyDescent="0.2">
      <c r="A102" t="s">
        <v>231</v>
      </c>
      <c r="B102" t="str" cm="1">
        <f t="array" ref="B102">INDEX(_xlfn.TEXTSPLIT(A102," - "),2)</f>
        <v>Category: Latina</v>
      </c>
      <c r="C102" t="s">
        <v>23</v>
      </c>
      <c r="D102" t="s">
        <v>24</v>
      </c>
      <c r="E102">
        <v>7762288</v>
      </c>
      <c r="F102" t="s">
        <v>18</v>
      </c>
      <c r="G102">
        <v>0</v>
      </c>
      <c r="H102">
        <v>122</v>
      </c>
      <c r="I102">
        <v>1</v>
      </c>
      <c r="J102">
        <v>49.146999999999998</v>
      </c>
      <c r="K102">
        <v>0.248234887175209</v>
      </c>
      <c r="L102">
        <v>0.40284426229508102</v>
      </c>
      <c r="M102">
        <v>0</v>
      </c>
      <c r="N102" t="s">
        <v>19</v>
      </c>
      <c r="O102" t="s">
        <v>20</v>
      </c>
      <c r="P102" t="s">
        <v>21</v>
      </c>
    </row>
    <row r="103" spans="1:16" x14ac:dyDescent="0.2">
      <c r="A103" t="s">
        <v>233</v>
      </c>
      <c r="B103" t="str" cm="1">
        <f t="array" ref="B103">INDEX(_xlfn.TEXTSPLIT(A103," - "),2)</f>
        <v>Category: Latina</v>
      </c>
      <c r="C103" t="s">
        <v>23</v>
      </c>
      <c r="D103" t="s">
        <v>24</v>
      </c>
      <c r="E103">
        <v>7762280</v>
      </c>
      <c r="F103" t="s">
        <v>18</v>
      </c>
      <c r="G103">
        <v>0</v>
      </c>
      <c r="H103">
        <v>133</v>
      </c>
      <c r="I103">
        <v>1</v>
      </c>
      <c r="J103">
        <v>59.195999999999998</v>
      </c>
      <c r="K103">
        <v>0.22467734306372</v>
      </c>
      <c r="L103">
        <v>0.44508270676691702</v>
      </c>
      <c r="M103">
        <v>0</v>
      </c>
      <c r="N103" t="s">
        <v>19</v>
      </c>
      <c r="O103" t="s">
        <v>20</v>
      </c>
      <c r="P103" t="s">
        <v>21</v>
      </c>
    </row>
    <row r="104" spans="1:16" x14ac:dyDescent="0.2">
      <c r="A104" t="s">
        <v>236</v>
      </c>
      <c r="B104" t="str" cm="1">
        <f t="array" ref="B104">INDEX(_xlfn.TEXTSPLIT(A104," - "),2)</f>
        <v>Category: Latina</v>
      </c>
      <c r="C104" t="s">
        <v>33</v>
      </c>
      <c r="D104" t="s">
        <v>17</v>
      </c>
      <c r="E104">
        <v>7762268</v>
      </c>
      <c r="F104" t="s">
        <v>18</v>
      </c>
      <c r="G104">
        <v>0</v>
      </c>
      <c r="H104">
        <v>3</v>
      </c>
      <c r="I104">
        <v>1</v>
      </c>
      <c r="J104">
        <v>0.97599999999999998</v>
      </c>
      <c r="K104">
        <v>0.30737704918032699</v>
      </c>
      <c r="L104">
        <v>0.32533333333333297</v>
      </c>
      <c r="M104">
        <v>0</v>
      </c>
      <c r="N104" t="s">
        <v>19</v>
      </c>
      <c r="O104" t="s">
        <v>20</v>
      </c>
      <c r="P104" t="s">
        <v>21</v>
      </c>
    </row>
    <row r="105" spans="1:16" x14ac:dyDescent="0.2">
      <c r="A105" t="s">
        <v>250</v>
      </c>
      <c r="B105" t="str" cm="1">
        <f t="array" ref="B105">INDEX(_xlfn.TEXTSPLIT(A105," - "),2)</f>
        <v>moana</v>
      </c>
      <c r="C105" t="s">
        <v>23</v>
      </c>
      <c r="D105" t="s">
        <v>24</v>
      </c>
      <c r="E105">
        <v>7745056</v>
      </c>
      <c r="F105" t="s">
        <v>18</v>
      </c>
      <c r="G105">
        <v>0</v>
      </c>
      <c r="H105">
        <v>178</v>
      </c>
      <c r="I105">
        <v>1.81320926966801</v>
      </c>
      <c r="J105">
        <v>100.00393085</v>
      </c>
      <c r="K105">
        <v>0.32273856363207798</v>
      </c>
      <c r="L105">
        <v>0.56181983623595499</v>
      </c>
      <c r="M105">
        <v>0</v>
      </c>
      <c r="N105" t="s">
        <v>19</v>
      </c>
      <c r="O105" t="s">
        <v>20</v>
      </c>
      <c r="P105">
        <v>50</v>
      </c>
    </row>
    <row r="106" spans="1:16" x14ac:dyDescent="0.2">
      <c r="A106" t="s">
        <v>251</v>
      </c>
      <c r="B106" t="str" cm="1">
        <f t="array" ref="B106">INDEX(_xlfn.TEXTSPLIT(A106," - "),2)</f>
        <v>elsa</v>
      </c>
      <c r="C106" t="s">
        <v>252</v>
      </c>
      <c r="D106" t="s">
        <v>17</v>
      </c>
      <c r="E106">
        <v>7745024</v>
      </c>
      <c r="F106" t="s">
        <v>18</v>
      </c>
      <c r="G106">
        <v>0</v>
      </c>
      <c r="H106">
        <v>41</v>
      </c>
      <c r="I106">
        <v>1.4744381968806399</v>
      </c>
      <c r="J106">
        <v>31.858186119999999</v>
      </c>
      <c r="K106">
        <v>0.18975332068311099</v>
      </c>
      <c r="L106">
        <v>0.77702892975609705</v>
      </c>
      <c r="M106">
        <v>0</v>
      </c>
      <c r="N106" t="s">
        <v>19</v>
      </c>
      <c r="O106" t="s">
        <v>20</v>
      </c>
      <c r="P106">
        <v>50</v>
      </c>
    </row>
    <row r="107" spans="1:16" x14ac:dyDescent="0.2">
      <c r="A107" t="s">
        <v>253</v>
      </c>
      <c r="B107" t="str" cm="1">
        <f t="array" ref="B107">INDEX(_xlfn.TEXTSPLIT(A107," - "),2)</f>
        <v>neko</v>
      </c>
      <c r="C107" t="s">
        <v>252</v>
      </c>
      <c r="D107" t="s">
        <v>17</v>
      </c>
      <c r="E107">
        <v>7744850</v>
      </c>
      <c r="F107" t="s">
        <v>18</v>
      </c>
      <c r="G107">
        <v>0</v>
      </c>
      <c r="H107">
        <v>3</v>
      </c>
      <c r="I107">
        <v>1.56706286928799</v>
      </c>
      <c r="J107">
        <v>1.47460615999999</v>
      </c>
      <c r="K107">
        <v>0.31880977683315598</v>
      </c>
      <c r="L107">
        <v>0.49153538666666602</v>
      </c>
      <c r="M107">
        <v>0</v>
      </c>
      <c r="N107" t="s">
        <v>19</v>
      </c>
      <c r="O107" t="s">
        <v>20</v>
      </c>
      <c r="P107">
        <v>50</v>
      </c>
    </row>
    <row r="108" spans="1:16" x14ac:dyDescent="0.2">
      <c r="A108" t="s">
        <v>254</v>
      </c>
      <c r="B108" t="str" cm="1">
        <f t="array" ref="B108">INDEX(_xlfn.TEXTSPLIT(A108," - "),2)</f>
        <v>saber</v>
      </c>
      <c r="C108" t="s">
        <v>23</v>
      </c>
      <c r="D108" t="s">
        <v>24</v>
      </c>
      <c r="E108">
        <v>7744704</v>
      </c>
      <c r="F108" t="s">
        <v>18</v>
      </c>
      <c r="G108">
        <v>0</v>
      </c>
      <c r="H108">
        <v>147</v>
      </c>
      <c r="I108">
        <v>1.8314446984708299</v>
      </c>
      <c r="J108">
        <v>100.00603776</v>
      </c>
      <c r="K108">
        <v>0.26920611665598299</v>
      </c>
      <c r="L108">
        <v>0.68031318204081603</v>
      </c>
      <c r="M108">
        <v>0</v>
      </c>
      <c r="N108" t="s">
        <v>19</v>
      </c>
      <c r="O108" t="s">
        <v>20</v>
      </c>
      <c r="P108">
        <v>50</v>
      </c>
    </row>
    <row r="109" spans="1:16" x14ac:dyDescent="0.2">
      <c r="A109" t="s">
        <v>255</v>
      </c>
      <c r="B109" t="str" cm="1">
        <f t="array" ref="B109">INDEX(_xlfn.TEXTSPLIT(A109," - "),2)</f>
        <v>link</v>
      </c>
      <c r="C109" t="s">
        <v>23</v>
      </c>
      <c r="D109" t="s">
        <v>24</v>
      </c>
      <c r="E109">
        <v>7744634</v>
      </c>
      <c r="F109" t="s">
        <v>18</v>
      </c>
      <c r="G109">
        <v>0</v>
      </c>
      <c r="H109">
        <v>227</v>
      </c>
      <c r="I109">
        <v>1.74014449074396</v>
      </c>
      <c r="J109">
        <v>100.01654474999999</v>
      </c>
      <c r="K109">
        <v>0.39494745632959799</v>
      </c>
      <c r="L109">
        <v>0.440601518722466</v>
      </c>
      <c r="M109">
        <v>0</v>
      </c>
      <c r="N109" t="s">
        <v>19</v>
      </c>
      <c r="O109" t="s">
        <v>20</v>
      </c>
      <c r="P109">
        <v>50</v>
      </c>
    </row>
    <row r="110" spans="1:16" x14ac:dyDescent="0.2">
      <c r="A110" t="s">
        <v>256</v>
      </c>
      <c r="B110" t="str" cm="1">
        <f t="array" ref="B110">INDEX(_xlfn.TEXTSPLIT(A110," - "),2)</f>
        <v>zelda</v>
      </c>
      <c r="C110" t="s">
        <v>252</v>
      </c>
      <c r="D110" t="s">
        <v>17</v>
      </c>
      <c r="E110">
        <v>7744624</v>
      </c>
      <c r="F110" t="s">
        <v>18</v>
      </c>
      <c r="G110">
        <v>0</v>
      </c>
      <c r="H110">
        <v>5</v>
      </c>
      <c r="I110">
        <v>1.6023452707581201</v>
      </c>
      <c r="J110">
        <v>0.88769927999999998</v>
      </c>
      <c r="K110">
        <v>0.90252707581227398</v>
      </c>
      <c r="L110">
        <v>0.177539856</v>
      </c>
      <c r="M110">
        <v>0</v>
      </c>
      <c r="N110" t="s">
        <v>19</v>
      </c>
      <c r="O110" t="s">
        <v>20</v>
      </c>
      <c r="P110">
        <v>50</v>
      </c>
    </row>
    <row r="111" spans="1:16" x14ac:dyDescent="0.2">
      <c r="A111" t="s">
        <v>257</v>
      </c>
      <c r="B111" t="str" cm="1">
        <f t="array" ref="B111">INDEX(_xlfn.TEXTSPLIT(A111," - "),2)</f>
        <v>jinx</v>
      </c>
      <c r="C111" t="s">
        <v>252</v>
      </c>
      <c r="D111" t="s">
        <v>17</v>
      </c>
      <c r="E111">
        <v>7744612</v>
      </c>
      <c r="F111" t="s">
        <v>18</v>
      </c>
      <c r="G111">
        <v>0</v>
      </c>
      <c r="H111">
        <v>0</v>
      </c>
      <c r="I111">
        <v>1.66429840029761</v>
      </c>
      <c r="J111">
        <v>2.23681705</v>
      </c>
      <c r="K111">
        <v>0</v>
      </c>
      <c r="L111">
        <v>0</v>
      </c>
      <c r="M111">
        <v>0</v>
      </c>
      <c r="N111" t="s">
        <v>19</v>
      </c>
      <c r="O111" t="s">
        <v>20</v>
      </c>
      <c r="P111">
        <v>50</v>
      </c>
    </row>
    <row r="112" spans="1:16" x14ac:dyDescent="0.2">
      <c r="A112" t="s">
        <v>258</v>
      </c>
      <c r="B112" t="str" cm="1">
        <f t="array" ref="B112">INDEX(_xlfn.TEXTSPLIT(A112," - "),2)</f>
        <v>overwatch</v>
      </c>
      <c r="C112" t="s">
        <v>252</v>
      </c>
      <c r="D112" t="s">
        <v>17</v>
      </c>
      <c r="E112">
        <v>7744578</v>
      </c>
      <c r="F112" t="s">
        <v>18</v>
      </c>
      <c r="G112">
        <v>0</v>
      </c>
      <c r="H112">
        <v>3</v>
      </c>
      <c r="I112">
        <v>1.6209449755301699</v>
      </c>
      <c r="J112">
        <v>0.99363926999999996</v>
      </c>
      <c r="K112">
        <v>0.48939641109298498</v>
      </c>
      <c r="L112">
        <v>0.33121308999999999</v>
      </c>
      <c r="M112">
        <v>0</v>
      </c>
      <c r="N112" t="s">
        <v>19</v>
      </c>
      <c r="O112" t="s">
        <v>20</v>
      </c>
      <c r="P112">
        <v>50</v>
      </c>
    </row>
    <row r="113" spans="1:16" x14ac:dyDescent="0.2">
      <c r="A113" t="s">
        <v>259</v>
      </c>
      <c r="B113" t="str" cm="1">
        <f t="array" ref="B113">INDEX(_xlfn.TEXTSPLIT(A113," - "),2)</f>
        <v>bleach</v>
      </c>
      <c r="C113" t="s">
        <v>23</v>
      </c>
      <c r="D113" t="s">
        <v>24</v>
      </c>
      <c r="E113">
        <v>7744412</v>
      </c>
      <c r="F113" t="s">
        <v>18</v>
      </c>
      <c r="G113">
        <v>0</v>
      </c>
      <c r="H113">
        <v>209</v>
      </c>
      <c r="I113">
        <v>1.67696811345115</v>
      </c>
      <c r="J113">
        <v>100.01102435</v>
      </c>
      <c r="K113">
        <v>0.350447701130151</v>
      </c>
      <c r="L113">
        <v>0.47852164760765498</v>
      </c>
      <c r="M113">
        <v>0</v>
      </c>
      <c r="N113" t="s">
        <v>19</v>
      </c>
      <c r="O113" t="s">
        <v>20</v>
      </c>
      <c r="P113">
        <v>50</v>
      </c>
    </row>
    <row r="114" spans="1:16" x14ac:dyDescent="0.2">
      <c r="A114" t="s">
        <v>261</v>
      </c>
      <c r="B114" t="str" cm="1">
        <f t="array" ref="B114">INDEX(_xlfn.TEXTSPLIT(A114," - "),2)</f>
        <v>nami</v>
      </c>
      <c r="C114" t="s">
        <v>23</v>
      </c>
      <c r="D114" t="s">
        <v>24</v>
      </c>
      <c r="E114">
        <v>7744278</v>
      </c>
      <c r="F114" t="s">
        <v>18</v>
      </c>
      <c r="G114">
        <v>0</v>
      </c>
      <c r="H114">
        <v>179</v>
      </c>
      <c r="I114">
        <v>1.6946905394233001</v>
      </c>
      <c r="J114">
        <v>100.03080378</v>
      </c>
      <c r="K114">
        <v>0.30325619218649402</v>
      </c>
      <c r="L114">
        <v>0.55883130603351905</v>
      </c>
      <c r="M114">
        <v>0</v>
      </c>
      <c r="N114" t="s">
        <v>19</v>
      </c>
      <c r="O114" t="s">
        <v>20</v>
      </c>
      <c r="P114">
        <v>50</v>
      </c>
    </row>
    <row r="115" spans="1:16" x14ac:dyDescent="0.2">
      <c r="A115" t="s">
        <v>264</v>
      </c>
      <c r="B115" t="str" cm="1">
        <f t="array" ref="B115">INDEX(_xlfn.TEXTSPLIT(A115," - "),2)</f>
        <v>mummy</v>
      </c>
      <c r="C115" t="s">
        <v>252</v>
      </c>
      <c r="D115" t="s">
        <v>17</v>
      </c>
      <c r="E115">
        <v>7744166</v>
      </c>
      <c r="F115" t="s">
        <v>18</v>
      </c>
      <c r="G115">
        <v>0</v>
      </c>
      <c r="H115">
        <v>24</v>
      </c>
      <c r="I115">
        <v>1.3947063251481699</v>
      </c>
      <c r="J115">
        <v>8.2357408499999991</v>
      </c>
      <c r="K115">
        <v>0.40643522438611301</v>
      </c>
      <c r="L115">
        <v>0.34315586874999998</v>
      </c>
      <c r="M115">
        <v>0</v>
      </c>
      <c r="N115" t="s">
        <v>19</v>
      </c>
      <c r="O115" t="s">
        <v>20</v>
      </c>
      <c r="P115">
        <v>50</v>
      </c>
    </row>
    <row r="116" spans="1:16" x14ac:dyDescent="0.2">
      <c r="A116" t="s">
        <v>265</v>
      </c>
      <c r="B116" t="str" cm="1">
        <f t="array" ref="B116">INDEX(_xlfn.TEXTSPLIT(A116," - "),2)</f>
        <v>zombie</v>
      </c>
      <c r="C116" t="s">
        <v>252</v>
      </c>
      <c r="D116" t="s">
        <v>17</v>
      </c>
      <c r="E116">
        <v>7744156</v>
      </c>
      <c r="F116" t="s">
        <v>18</v>
      </c>
      <c r="G116">
        <v>0</v>
      </c>
      <c r="H116">
        <v>3</v>
      </c>
      <c r="I116">
        <v>1.5945380620155001</v>
      </c>
      <c r="J116">
        <v>1.4398678699999901</v>
      </c>
      <c r="K116">
        <v>0.33222591362126203</v>
      </c>
      <c r="L116">
        <v>0.47995595666666602</v>
      </c>
      <c r="M116">
        <v>0</v>
      </c>
      <c r="N116" t="s">
        <v>19</v>
      </c>
      <c r="O116" t="s">
        <v>20</v>
      </c>
      <c r="P116">
        <v>50</v>
      </c>
    </row>
    <row r="117" spans="1:16" x14ac:dyDescent="0.2">
      <c r="A117" t="s">
        <v>266</v>
      </c>
      <c r="B117" t="str" cm="1">
        <f t="array" ref="B117">INDEX(_xlfn.TEXTSPLIT(A117," - "),2)</f>
        <v>vampire</v>
      </c>
      <c r="C117" t="s">
        <v>252</v>
      </c>
      <c r="D117" t="s">
        <v>17</v>
      </c>
      <c r="E117">
        <v>7744146</v>
      </c>
      <c r="F117" t="s">
        <v>18</v>
      </c>
      <c r="G117">
        <v>0</v>
      </c>
      <c r="H117">
        <v>6</v>
      </c>
      <c r="I117">
        <v>1.62058138752627</v>
      </c>
      <c r="J117">
        <v>2.31256964</v>
      </c>
      <c r="K117">
        <v>0.42046250875963498</v>
      </c>
      <c r="L117">
        <v>0.38542827333333302</v>
      </c>
      <c r="M117">
        <v>0</v>
      </c>
      <c r="N117" t="s">
        <v>19</v>
      </c>
      <c r="O117" t="s">
        <v>20</v>
      </c>
      <c r="P117">
        <v>50</v>
      </c>
    </row>
    <row r="118" spans="1:16" x14ac:dyDescent="0.2">
      <c r="A118" t="s">
        <v>267</v>
      </c>
      <c r="B118" t="str" cm="1">
        <f t="array" ref="B118">INDEX(_xlfn.TEXTSPLIT(A118," - "),2)</f>
        <v>succubus</v>
      </c>
      <c r="C118" t="s">
        <v>252</v>
      </c>
      <c r="D118" t="s">
        <v>17</v>
      </c>
      <c r="E118">
        <v>7744136</v>
      </c>
      <c r="F118" t="s">
        <v>18</v>
      </c>
      <c r="G118">
        <v>0</v>
      </c>
      <c r="H118">
        <v>18</v>
      </c>
      <c r="I118">
        <v>1.45943391830559</v>
      </c>
      <c r="J118">
        <v>10.611544019999901</v>
      </c>
      <c r="K118">
        <v>0.24755879521386301</v>
      </c>
      <c r="L118">
        <v>0.58953022333333305</v>
      </c>
      <c r="M118">
        <v>0</v>
      </c>
      <c r="N118" t="s">
        <v>19</v>
      </c>
      <c r="O118" t="s">
        <v>20</v>
      </c>
      <c r="P118">
        <v>50</v>
      </c>
    </row>
    <row r="119" spans="1:16" x14ac:dyDescent="0.2">
      <c r="A119" t="s">
        <v>268</v>
      </c>
      <c r="B119" t="str" cm="1">
        <f t="array" ref="B119">INDEX(_xlfn.TEXTSPLIT(A119," - "),2)</f>
        <v>angel</v>
      </c>
      <c r="C119" t="s">
        <v>252</v>
      </c>
      <c r="D119" t="s">
        <v>17</v>
      </c>
      <c r="E119">
        <v>7744126</v>
      </c>
      <c r="F119" t="s">
        <v>18</v>
      </c>
      <c r="G119">
        <v>0</v>
      </c>
      <c r="H119">
        <v>101</v>
      </c>
      <c r="I119">
        <v>1</v>
      </c>
      <c r="J119">
        <v>39.168999999999997</v>
      </c>
      <c r="K119">
        <v>0.25785697873318097</v>
      </c>
      <c r="L119">
        <v>0.38781188118811799</v>
      </c>
      <c r="M119">
        <v>0</v>
      </c>
      <c r="N119" t="s">
        <v>19</v>
      </c>
      <c r="O119" t="s">
        <v>20</v>
      </c>
      <c r="P119">
        <v>50</v>
      </c>
    </row>
    <row r="120" spans="1:16" x14ac:dyDescent="0.2">
      <c r="A120" t="s">
        <v>270</v>
      </c>
      <c r="B120" t="str" cm="1">
        <f t="array" ref="B120">INDEX(_xlfn.TEXTSPLIT(A120," - "),2)</f>
        <v>nun</v>
      </c>
      <c r="C120" t="s">
        <v>252</v>
      </c>
      <c r="D120" t="s">
        <v>17</v>
      </c>
      <c r="E120">
        <v>7744106</v>
      </c>
      <c r="F120" t="s">
        <v>18</v>
      </c>
      <c r="G120">
        <v>0</v>
      </c>
      <c r="H120">
        <v>104</v>
      </c>
      <c r="I120">
        <v>1.4886526814310901</v>
      </c>
      <c r="J120">
        <v>55.589268429999997</v>
      </c>
      <c r="K120">
        <v>0.27850677521289702</v>
      </c>
      <c r="L120">
        <v>0.53451219644230696</v>
      </c>
      <c r="M120">
        <v>0</v>
      </c>
      <c r="N120" t="s">
        <v>19</v>
      </c>
      <c r="O120" t="s">
        <v>20</v>
      </c>
      <c r="P120">
        <v>50</v>
      </c>
    </row>
    <row r="121" spans="1:16" x14ac:dyDescent="0.2">
      <c r="A121" t="s">
        <v>272</v>
      </c>
      <c r="B121" t="str" cm="1">
        <f t="array" ref="B121">INDEX(_xlfn.TEXTSPLIT(A121," - "),2)</f>
        <v>alien</v>
      </c>
      <c r="C121" t="s">
        <v>23</v>
      </c>
      <c r="D121" t="s">
        <v>24</v>
      </c>
      <c r="E121">
        <v>7729226</v>
      </c>
      <c r="F121" t="s">
        <v>18</v>
      </c>
      <c r="G121">
        <v>0</v>
      </c>
      <c r="H121">
        <v>173</v>
      </c>
      <c r="I121">
        <v>1.70597564982533</v>
      </c>
      <c r="J121">
        <v>100.11518101</v>
      </c>
      <c r="K121">
        <v>0.29479424043622698</v>
      </c>
      <c r="L121">
        <v>0.57870046826589505</v>
      </c>
      <c r="M121">
        <v>0</v>
      </c>
      <c r="N121" t="s">
        <v>19</v>
      </c>
      <c r="O121" t="s">
        <v>20</v>
      </c>
      <c r="P121">
        <v>50</v>
      </c>
    </row>
    <row r="122" spans="1:16" x14ac:dyDescent="0.2">
      <c r="A122" t="s">
        <v>275</v>
      </c>
      <c r="B122" t="str" cm="1">
        <f t="array" ref="B122">INDEX(_xlfn.TEXTSPLIT(A122," - "),2)</f>
        <v>mannequin</v>
      </c>
      <c r="C122" t="s">
        <v>252</v>
      </c>
      <c r="D122" t="s">
        <v>17</v>
      </c>
      <c r="E122">
        <v>7729072</v>
      </c>
      <c r="F122" t="s">
        <v>18</v>
      </c>
      <c r="G122">
        <v>0</v>
      </c>
      <c r="H122">
        <v>1</v>
      </c>
      <c r="I122">
        <v>1.5814282047477699</v>
      </c>
      <c r="J122">
        <v>1.0658826100000001</v>
      </c>
      <c r="K122">
        <v>0.14836795252225499</v>
      </c>
      <c r="L122">
        <v>1.0658826100000001</v>
      </c>
      <c r="M122">
        <v>0</v>
      </c>
      <c r="N122" t="s">
        <v>19</v>
      </c>
      <c r="O122" t="s">
        <v>20</v>
      </c>
      <c r="P122">
        <v>50</v>
      </c>
    </row>
    <row r="123" spans="1:16" x14ac:dyDescent="0.2">
      <c r="A123" t="s">
        <v>276</v>
      </c>
      <c r="B123" t="str" cm="1">
        <f t="array" ref="B123">INDEX(_xlfn.TEXTSPLIT(A123," - "),2)</f>
        <v>doll</v>
      </c>
      <c r="C123" t="s">
        <v>23</v>
      </c>
      <c r="D123" t="s">
        <v>24</v>
      </c>
      <c r="E123">
        <v>7729052</v>
      </c>
      <c r="F123" t="s">
        <v>18</v>
      </c>
      <c r="G123">
        <v>0</v>
      </c>
      <c r="H123">
        <v>214</v>
      </c>
      <c r="I123">
        <v>1.74093802323559</v>
      </c>
      <c r="J123">
        <v>100.10045445999999</v>
      </c>
      <c r="K123">
        <v>0.372186858673345</v>
      </c>
      <c r="L123">
        <v>0.46775913299065403</v>
      </c>
      <c r="M123">
        <v>0</v>
      </c>
      <c r="N123" t="s">
        <v>19</v>
      </c>
      <c r="O123" t="s">
        <v>20</v>
      </c>
      <c r="P123">
        <v>50</v>
      </c>
    </row>
    <row r="124" spans="1:16" x14ac:dyDescent="0.2">
      <c r="A124" t="s">
        <v>277</v>
      </c>
      <c r="B124" t="str" cm="1">
        <f t="array" ref="B124">INDEX(_xlfn.TEXTSPLIT(A124," - "),2)</f>
        <v>slime</v>
      </c>
      <c r="C124" t="s">
        <v>252</v>
      </c>
      <c r="D124" t="s">
        <v>17</v>
      </c>
      <c r="E124">
        <v>7729032</v>
      </c>
      <c r="F124" t="s">
        <v>18</v>
      </c>
      <c r="G124">
        <v>0</v>
      </c>
      <c r="H124">
        <v>44</v>
      </c>
      <c r="I124">
        <v>1.4516281274447</v>
      </c>
      <c r="J124">
        <v>20.4113431</v>
      </c>
      <c r="K124">
        <v>0.31292226726406303</v>
      </c>
      <c r="L124">
        <v>0.46389416136363598</v>
      </c>
      <c r="M124">
        <v>0</v>
      </c>
      <c r="N124" t="s">
        <v>19</v>
      </c>
      <c r="O124" t="s">
        <v>20</v>
      </c>
      <c r="P124">
        <v>50</v>
      </c>
    </row>
    <row r="125" spans="1:16" x14ac:dyDescent="0.2">
      <c r="A125" t="s">
        <v>278</v>
      </c>
      <c r="B125" t="str" cm="1">
        <f t="array" ref="B125">INDEX(_xlfn.TEXTSPLIT(A125," - "),2)</f>
        <v>mask</v>
      </c>
      <c r="C125" t="s">
        <v>252</v>
      </c>
      <c r="D125" t="s">
        <v>17</v>
      </c>
      <c r="E125">
        <v>7728966</v>
      </c>
      <c r="F125" t="s">
        <v>18</v>
      </c>
      <c r="G125">
        <v>0</v>
      </c>
      <c r="H125">
        <v>83</v>
      </c>
      <c r="I125">
        <v>1.4671215799723201</v>
      </c>
      <c r="J125">
        <v>57.255886779999997</v>
      </c>
      <c r="K125">
        <v>0.212678727002511</v>
      </c>
      <c r="L125">
        <v>0.68982996120481899</v>
      </c>
      <c r="M125">
        <v>0</v>
      </c>
      <c r="N125" t="s">
        <v>19</v>
      </c>
      <c r="O125" t="s">
        <v>20</v>
      </c>
      <c r="P125">
        <v>50</v>
      </c>
    </row>
    <row r="126" spans="1:16" x14ac:dyDescent="0.2">
      <c r="A126" t="s">
        <v>280</v>
      </c>
      <c r="B126" t="str" cm="1">
        <f t="array" ref="B126">INDEX(_xlfn.TEXTSPLIT(A126," - "),2)</f>
        <v>robot</v>
      </c>
      <c r="C126" t="s">
        <v>252</v>
      </c>
      <c r="D126" t="s">
        <v>17</v>
      </c>
      <c r="E126">
        <v>7728924</v>
      </c>
      <c r="F126" t="s">
        <v>18</v>
      </c>
      <c r="G126">
        <v>0</v>
      </c>
      <c r="H126">
        <v>9</v>
      </c>
      <c r="I126">
        <v>1.49355589973142</v>
      </c>
      <c r="J126">
        <v>3.3366038800000002</v>
      </c>
      <c r="K126">
        <v>0.40286481647269401</v>
      </c>
      <c r="L126">
        <v>0.370733764444444</v>
      </c>
      <c r="M126">
        <v>0</v>
      </c>
      <c r="N126" t="s">
        <v>19</v>
      </c>
      <c r="O126" t="s">
        <v>20</v>
      </c>
      <c r="P126">
        <v>50</v>
      </c>
    </row>
    <row r="127" spans="1:16" x14ac:dyDescent="0.2">
      <c r="A127" t="s">
        <v>282</v>
      </c>
      <c r="B127" t="str" cm="1">
        <f t="array" ref="B127">INDEX(_xlfn.TEXTSPLIT(A127," - "),2)</f>
        <v>medical</v>
      </c>
      <c r="C127" t="s">
        <v>23</v>
      </c>
      <c r="D127" t="s">
        <v>24</v>
      </c>
      <c r="E127">
        <v>7728880</v>
      </c>
      <c r="F127" t="s">
        <v>18</v>
      </c>
      <c r="G127">
        <v>0</v>
      </c>
      <c r="H127">
        <v>172</v>
      </c>
      <c r="I127">
        <v>1.72089718367276</v>
      </c>
      <c r="J127">
        <v>100.04607867</v>
      </c>
      <c r="K127">
        <v>0.29585798816567999</v>
      </c>
      <c r="L127">
        <v>0.58166324808139502</v>
      </c>
      <c r="M127">
        <v>0</v>
      </c>
      <c r="N127" t="s">
        <v>19</v>
      </c>
      <c r="O127" t="s">
        <v>20</v>
      </c>
      <c r="P127">
        <v>50</v>
      </c>
    </row>
    <row r="128" spans="1:16" x14ac:dyDescent="0.2">
      <c r="A128" t="s">
        <v>283</v>
      </c>
      <c r="B128" t="str" cm="1">
        <f t="array" ref="B128">INDEX(_xlfn.TEXTSPLIT(A128," - "),2)</f>
        <v>giant</v>
      </c>
      <c r="C128" t="s">
        <v>23</v>
      </c>
      <c r="D128" t="s">
        <v>24</v>
      </c>
      <c r="E128">
        <v>7728838</v>
      </c>
      <c r="F128" t="s">
        <v>18</v>
      </c>
      <c r="G128">
        <v>0</v>
      </c>
      <c r="H128">
        <v>165</v>
      </c>
      <c r="I128">
        <v>1</v>
      </c>
      <c r="J128">
        <v>72.858000000000004</v>
      </c>
      <c r="K128">
        <v>0.226467923906777</v>
      </c>
      <c r="L128">
        <v>0.44156363636363599</v>
      </c>
      <c r="M128">
        <v>0</v>
      </c>
      <c r="N128" t="s">
        <v>19</v>
      </c>
      <c r="O128" t="s">
        <v>20</v>
      </c>
      <c r="P128">
        <v>50</v>
      </c>
    </row>
    <row r="129" spans="1:16" x14ac:dyDescent="0.2">
      <c r="A129" t="s">
        <v>284</v>
      </c>
      <c r="B129" t="str" cm="1">
        <f t="array" ref="B129">INDEX(_xlfn.TEXTSPLIT(A129," - "),2)</f>
        <v>enema</v>
      </c>
      <c r="C129" t="s">
        <v>23</v>
      </c>
      <c r="D129" t="s">
        <v>24</v>
      </c>
      <c r="E129">
        <v>7728818</v>
      </c>
      <c r="F129" t="s">
        <v>18</v>
      </c>
      <c r="G129">
        <v>0</v>
      </c>
      <c r="H129">
        <v>181</v>
      </c>
      <c r="I129">
        <v>1.70524636287682</v>
      </c>
      <c r="J129">
        <v>100.009288689999</v>
      </c>
      <c r="K129">
        <v>0.30862092483972098</v>
      </c>
      <c r="L129">
        <v>0.552537506574585</v>
      </c>
      <c r="M129">
        <v>0</v>
      </c>
      <c r="N129" t="s">
        <v>19</v>
      </c>
      <c r="O129" t="s">
        <v>20</v>
      </c>
      <c r="P129">
        <v>50</v>
      </c>
    </row>
    <row r="130" spans="1:16" x14ac:dyDescent="0.2">
      <c r="A130" t="s">
        <v>285</v>
      </c>
      <c r="B130" t="str" cm="1">
        <f t="array" ref="B130">INDEX(_xlfn.TEXTSPLIT(A130," - "),2)</f>
        <v>pissing</v>
      </c>
      <c r="C130" t="s">
        <v>252</v>
      </c>
      <c r="D130" t="s">
        <v>17</v>
      </c>
      <c r="E130">
        <v>7728774</v>
      </c>
      <c r="F130" t="s">
        <v>18</v>
      </c>
      <c r="G130">
        <v>0</v>
      </c>
      <c r="H130">
        <v>28</v>
      </c>
      <c r="I130">
        <v>0.999999999999999</v>
      </c>
      <c r="J130">
        <v>7.0379999999999896</v>
      </c>
      <c r="K130">
        <v>0.39784029553850497</v>
      </c>
      <c r="L130">
        <v>0.251357142857142</v>
      </c>
      <c r="M130">
        <v>0</v>
      </c>
      <c r="N130" t="s">
        <v>19</v>
      </c>
      <c r="O130" t="s">
        <v>20</v>
      </c>
      <c r="P130">
        <v>50</v>
      </c>
    </row>
    <row r="131" spans="1:16" x14ac:dyDescent="0.2">
      <c r="A131" t="s">
        <v>286</v>
      </c>
      <c r="B131" t="str" cm="1">
        <f t="array" ref="B131">INDEX(_xlfn.TEXTSPLIT(A131," - "),2)</f>
        <v>da</v>
      </c>
      <c r="C131" t="s">
        <v>23</v>
      </c>
      <c r="D131" t="s">
        <v>24</v>
      </c>
      <c r="E131">
        <v>7728754</v>
      </c>
      <c r="F131" t="s">
        <v>18</v>
      </c>
      <c r="G131">
        <v>0</v>
      </c>
      <c r="H131">
        <v>273</v>
      </c>
      <c r="I131">
        <v>1</v>
      </c>
      <c r="J131">
        <v>100.009</v>
      </c>
      <c r="K131">
        <v>0.27297543221110099</v>
      </c>
      <c r="L131">
        <v>0.36633333333333301</v>
      </c>
      <c r="M131">
        <v>0</v>
      </c>
      <c r="N131" t="s">
        <v>19</v>
      </c>
      <c r="O131" t="s">
        <v>20</v>
      </c>
      <c r="P131">
        <v>200</v>
      </c>
    </row>
    <row r="132" spans="1:16" x14ac:dyDescent="0.2">
      <c r="A132" t="s">
        <v>287</v>
      </c>
      <c r="B132" t="str" cm="1">
        <f t="array" ref="B132">INDEX(_xlfn.TEXTSPLIT(A132," - "),2)</f>
        <v>dp</v>
      </c>
      <c r="C132" t="s">
        <v>23</v>
      </c>
      <c r="D132" t="s">
        <v>24</v>
      </c>
      <c r="E132">
        <v>7728734</v>
      </c>
      <c r="F132" t="s">
        <v>18</v>
      </c>
      <c r="G132">
        <v>0</v>
      </c>
      <c r="H132">
        <v>242</v>
      </c>
      <c r="I132">
        <v>1</v>
      </c>
      <c r="J132">
        <v>100.011</v>
      </c>
      <c r="K132">
        <v>0.24197338292787701</v>
      </c>
      <c r="L132">
        <v>0.41326859504132202</v>
      </c>
      <c r="M132">
        <v>0</v>
      </c>
      <c r="N132" t="s">
        <v>19</v>
      </c>
      <c r="O132" t="s">
        <v>20</v>
      </c>
      <c r="P132">
        <v>50</v>
      </c>
    </row>
    <row r="133" spans="1:16" x14ac:dyDescent="0.2">
      <c r="A133" t="s">
        <v>289</v>
      </c>
      <c r="B133" t="str" cm="1">
        <f t="array" ref="B133">INDEX(_xlfn.TEXTSPLIT(A133," - "),2)</f>
        <v>candle</v>
      </c>
      <c r="C133" t="s">
        <v>252</v>
      </c>
      <c r="D133" t="s">
        <v>17</v>
      </c>
      <c r="E133">
        <v>7728692</v>
      </c>
      <c r="F133" t="s">
        <v>18</v>
      </c>
      <c r="G133">
        <v>0</v>
      </c>
      <c r="H133">
        <v>3</v>
      </c>
      <c r="I133">
        <v>1.6399612368420999</v>
      </c>
      <c r="J133">
        <v>3.1159263499999899</v>
      </c>
      <c r="K133">
        <v>0.157894736842105</v>
      </c>
      <c r="L133">
        <v>1.03864211666666</v>
      </c>
      <c r="M133">
        <v>0</v>
      </c>
      <c r="N133" t="s">
        <v>19</v>
      </c>
      <c r="O133" t="s">
        <v>20</v>
      </c>
      <c r="P133">
        <v>200</v>
      </c>
    </row>
    <row r="134" spans="1:16" x14ac:dyDescent="0.2">
      <c r="A134" t="s">
        <v>290</v>
      </c>
      <c r="B134" t="str" cm="1">
        <f t="array" ref="B134">INDEX(_xlfn.TEXTSPLIT(A134," - "),2)</f>
        <v>whipping</v>
      </c>
      <c r="C134" t="s">
        <v>23</v>
      </c>
      <c r="D134" t="s">
        <v>24</v>
      </c>
      <c r="E134">
        <v>7728672</v>
      </c>
      <c r="F134" t="s">
        <v>18</v>
      </c>
      <c r="G134">
        <v>0</v>
      </c>
      <c r="H134">
        <v>176</v>
      </c>
      <c r="I134">
        <v>1.68437311190812</v>
      </c>
      <c r="J134">
        <v>100.03155037000001</v>
      </c>
      <c r="K134">
        <v>0.29635616622886701</v>
      </c>
      <c r="L134">
        <v>0.56836108164772703</v>
      </c>
      <c r="M134">
        <v>0</v>
      </c>
      <c r="N134" t="s">
        <v>19</v>
      </c>
      <c r="O134" t="s">
        <v>20</v>
      </c>
      <c r="P134">
        <v>50</v>
      </c>
    </row>
    <row r="135" spans="1:16" x14ac:dyDescent="0.2">
      <c r="A135" t="s">
        <v>293</v>
      </c>
      <c r="B135" t="str" cm="1">
        <f t="array" ref="B135">INDEX(_xlfn.TEXTSPLIT(A135," - "),2)</f>
        <v>armpit</v>
      </c>
      <c r="C135" t="s">
        <v>23</v>
      </c>
      <c r="D135" t="s">
        <v>24</v>
      </c>
      <c r="E135">
        <v>7728586</v>
      </c>
      <c r="F135" t="s">
        <v>18</v>
      </c>
      <c r="G135">
        <v>0</v>
      </c>
      <c r="H135">
        <v>166</v>
      </c>
      <c r="I135">
        <v>1.6491782598657601</v>
      </c>
      <c r="J135">
        <v>100.0045205</v>
      </c>
      <c r="K135">
        <v>0.27375121621398701</v>
      </c>
      <c r="L135">
        <v>0.60243687048192696</v>
      </c>
      <c r="M135">
        <v>0</v>
      </c>
      <c r="N135" t="s">
        <v>19</v>
      </c>
      <c r="O135" t="s">
        <v>20</v>
      </c>
      <c r="P135">
        <v>50</v>
      </c>
    </row>
    <row r="136" spans="1:16" x14ac:dyDescent="0.2">
      <c r="A136" t="s">
        <v>294</v>
      </c>
      <c r="B136" t="str" cm="1">
        <f t="array" ref="B136">INDEX(_xlfn.TEXTSPLIT(A136," - "),2)</f>
        <v>rimjob</v>
      </c>
      <c r="C136" t="s">
        <v>252</v>
      </c>
      <c r="D136" t="s">
        <v>17</v>
      </c>
      <c r="E136">
        <v>7728542</v>
      </c>
      <c r="F136" t="s">
        <v>18</v>
      </c>
      <c r="G136">
        <v>0</v>
      </c>
      <c r="H136">
        <v>41</v>
      </c>
      <c r="I136">
        <v>1</v>
      </c>
      <c r="J136">
        <v>21.552</v>
      </c>
      <c r="K136">
        <v>0.19023756495916799</v>
      </c>
      <c r="L136">
        <v>0.52565853658536499</v>
      </c>
      <c r="M136">
        <v>0</v>
      </c>
      <c r="N136" t="s">
        <v>19</v>
      </c>
      <c r="O136" t="s">
        <v>20</v>
      </c>
      <c r="P136">
        <v>50</v>
      </c>
    </row>
    <row r="137" spans="1:16" x14ac:dyDescent="0.2">
      <c r="A137" t="s">
        <v>295</v>
      </c>
      <c r="B137" t="str" cm="1">
        <f t="array" ref="B137">INDEX(_xlfn.TEXTSPLIT(A137," - "),2)</f>
        <v>prostate</v>
      </c>
      <c r="C137" t="s">
        <v>252</v>
      </c>
      <c r="D137" t="s">
        <v>17</v>
      </c>
      <c r="E137">
        <v>7728522</v>
      </c>
      <c r="F137" t="s">
        <v>18</v>
      </c>
      <c r="G137">
        <v>0</v>
      </c>
      <c r="H137">
        <v>28</v>
      </c>
      <c r="I137">
        <v>1</v>
      </c>
      <c r="J137">
        <v>11.972</v>
      </c>
      <c r="K137">
        <v>0.23387905111927801</v>
      </c>
      <c r="L137">
        <v>0.42757142857142799</v>
      </c>
      <c r="M137">
        <v>0</v>
      </c>
      <c r="N137" t="s">
        <v>19</v>
      </c>
      <c r="O137" t="s">
        <v>20</v>
      </c>
      <c r="P137">
        <v>50</v>
      </c>
    </row>
    <row r="138" spans="1:16" x14ac:dyDescent="0.2">
      <c r="A138" t="s">
        <v>296</v>
      </c>
      <c r="B138" t="str" cm="1">
        <f t="array" ref="B138">INDEX(_xlfn.TEXTSPLIT(A138," - "),2)</f>
        <v>denial</v>
      </c>
      <c r="C138" t="s">
        <v>23</v>
      </c>
      <c r="D138" t="s">
        <v>24</v>
      </c>
      <c r="E138">
        <v>7728502</v>
      </c>
      <c r="F138" t="s">
        <v>18</v>
      </c>
      <c r="G138">
        <v>0</v>
      </c>
      <c r="H138">
        <v>128</v>
      </c>
      <c r="I138">
        <v>1.6718354247939899</v>
      </c>
      <c r="J138">
        <v>100.024241629999</v>
      </c>
      <c r="K138">
        <v>0.213943071085928</v>
      </c>
      <c r="L138">
        <v>0.78143938773437405</v>
      </c>
      <c r="M138">
        <v>0</v>
      </c>
      <c r="N138" t="s">
        <v>19</v>
      </c>
      <c r="O138" t="s">
        <v>20</v>
      </c>
      <c r="P138">
        <v>200</v>
      </c>
    </row>
    <row r="139" spans="1:16" x14ac:dyDescent="0.2">
      <c r="A139" t="s">
        <v>298</v>
      </c>
      <c r="B139" t="str" cm="1">
        <f t="array" ref="B139">INDEX(_xlfn.TEXTSPLIT(A139," - "),2)</f>
        <v>maledom</v>
      </c>
      <c r="C139" t="s">
        <v>23</v>
      </c>
      <c r="D139" t="s">
        <v>24</v>
      </c>
      <c r="E139">
        <v>7728452</v>
      </c>
      <c r="F139" t="s">
        <v>18</v>
      </c>
      <c r="G139">
        <v>0</v>
      </c>
      <c r="H139">
        <v>126</v>
      </c>
      <c r="I139">
        <v>1.7370217935141099</v>
      </c>
      <c r="J139">
        <v>100.05592935</v>
      </c>
      <c r="K139">
        <v>0.218742404777611</v>
      </c>
      <c r="L139">
        <v>0.79409467738095196</v>
      </c>
      <c r="M139">
        <v>0</v>
      </c>
      <c r="N139" t="s">
        <v>19</v>
      </c>
      <c r="O139" t="s">
        <v>20</v>
      </c>
      <c r="P139">
        <v>50</v>
      </c>
    </row>
    <row r="140" spans="1:16" x14ac:dyDescent="0.2">
      <c r="A140" t="s">
        <v>300</v>
      </c>
      <c r="B140" t="str" cm="1">
        <f t="array" ref="B140">INDEX(_xlfn.TEXTSPLIT(A140," - "),2)</f>
        <v>tickling</v>
      </c>
      <c r="C140" t="s">
        <v>252</v>
      </c>
      <c r="D140" t="s">
        <v>17</v>
      </c>
      <c r="E140">
        <v>7728368</v>
      </c>
      <c r="F140" t="s">
        <v>18</v>
      </c>
      <c r="G140">
        <v>0</v>
      </c>
      <c r="H140">
        <v>6</v>
      </c>
      <c r="I140">
        <v>1.4603547670961301</v>
      </c>
      <c r="J140">
        <v>4.4204938800000004</v>
      </c>
      <c r="K140">
        <v>0.19821605550049501</v>
      </c>
      <c r="L140">
        <v>0.73674898</v>
      </c>
      <c r="M140">
        <v>0</v>
      </c>
      <c r="N140" t="s">
        <v>19</v>
      </c>
      <c r="O140" t="s">
        <v>20</v>
      </c>
      <c r="P140">
        <v>50</v>
      </c>
    </row>
    <row r="141" spans="1:16" x14ac:dyDescent="0.2">
      <c r="A141" t="s">
        <v>302</v>
      </c>
      <c r="B141" t="str" cm="1">
        <f t="array" ref="B141">INDEX(_xlfn.TEXTSPLIT(A141," - "),2)</f>
        <v>lactation</v>
      </c>
      <c r="C141" t="s">
        <v>252</v>
      </c>
      <c r="D141" t="s">
        <v>17</v>
      </c>
      <c r="E141">
        <v>7728324</v>
      </c>
      <c r="F141" t="s">
        <v>18</v>
      </c>
      <c r="G141">
        <v>0</v>
      </c>
      <c r="H141">
        <v>34</v>
      </c>
      <c r="I141">
        <v>1.48347288425302</v>
      </c>
      <c r="J141">
        <v>22.044407059999902</v>
      </c>
      <c r="K141">
        <v>0.228802153432032</v>
      </c>
      <c r="L141">
        <v>0.64836491352941095</v>
      </c>
      <c r="M141">
        <v>0</v>
      </c>
      <c r="N141" t="s">
        <v>19</v>
      </c>
      <c r="O141" t="s">
        <v>20</v>
      </c>
      <c r="P141">
        <v>200</v>
      </c>
    </row>
    <row r="142" spans="1:16" x14ac:dyDescent="0.2">
      <c r="A142" t="s">
        <v>304</v>
      </c>
      <c r="B142" t="str" cm="1">
        <f t="array" ref="B142">INDEX(_xlfn.TEXTSPLIT(A142," - "),2)</f>
        <v>ageplay</v>
      </c>
      <c r="C142" t="s">
        <v>252</v>
      </c>
      <c r="D142" t="s">
        <v>17</v>
      </c>
      <c r="E142">
        <v>7728284</v>
      </c>
      <c r="F142" t="s">
        <v>18</v>
      </c>
      <c r="G142">
        <v>0</v>
      </c>
      <c r="H142">
        <v>3</v>
      </c>
      <c r="I142">
        <v>1.5872736423841001</v>
      </c>
      <c r="J142">
        <v>1.43806992</v>
      </c>
      <c r="K142">
        <v>0.33112582781456901</v>
      </c>
      <c r="L142">
        <v>0.47935664</v>
      </c>
      <c r="M142">
        <v>0</v>
      </c>
      <c r="N142" t="s">
        <v>19</v>
      </c>
      <c r="O142" t="s">
        <v>20</v>
      </c>
      <c r="P142">
        <v>200</v>
      </c>
    </row>
    <row r="143" spans="1:16" x14ac:dyDescent="0.2">
      <c r="A143" t="s">
        <v>305</v>
      </c>
      <c r="B143" t="str" cm="1">
        <f t="array" ref="B143">INDEX(_xlfn.TEXTSPLIT(A143," - "),2)</f>
        <v>diaper</v>
      </c>
      <c r="C143" t="s">
        <v>252</v>
      </c>
      <c r="D143" t="s">
        <v>17</v>
      </c>
      <c r="E143">
        <v>7728262</v>
      </c>
      <c r="F143" t="s">
        <v>18</v>
      </c>
      <c r="G143">
        <v>0</v>
      </c>
      <c r="H143">
        <v>4</v>
      </c>
      <c r="I143">
        <v>1.5755653004291801</v>
      </c>
      <c r="J143">
        <v>2.20264028999999</v>
      </c>
      <c r="K143">
        <v>0.28612303290414798</v>
      </c>
      <c r="L143">
        <v>0.55066007249999904</v>
      </c>
      <c r="M143">
        <v>0</v>
      </c>
      <c r="N143" t="s">
        <v>19</v>
      </c>
      <c r="O143" t="s">
        <v>20</v>
      </c>
      <c r="P143">
        <v>200</v>
      </c>
    </row>
    <row r="144" spans="1:16" x14ac:dyDescent="0.2">
      <c r="A144" t="s">
        <v>307</v>
      </c>
      <c r="B144" t="str" cm="1">
        <f t="array" ref="B144">INDEX(_xlfn.TEXTSPLIT(A144," - "),2)</f>
        <v>slave</v>
      </c>
      <c r="C144" t="s">
        <v>23</v>
      </c>
      <c r="D144" t="s">
        <v>24</v>
      </c>
      <c r="E144">
        <v>7728160</v>
      </c>
      <c r="F144" t="s">
        <v>18</v>
      </c>
      <c r="G144">
        <v>0</v>
      </c>
      <c r="H144">
        <v>210</v>
      </c>
      <c r="I144">
        <v>1</v>
      </c>
      <c r="J144">
        <v>100.005</v>
      </c>
      <c r="K144">
        <v>0.20998950052497301</v>
      </c>
      <c r="L144">
        <v>0.47621428571428498</v>
      </c>
      <c r="M144">
        <v>0</v>
      </c>
      <c r="N144" t="s">
        <v>19</v>
      </c>
      <c r="O144" t="s">
        <v>20</v>
      </c>
      <c r="P144">
        <v>50</v>
      </c>
    </row>
    <row r="145" spans="1:16" x14ac:dyDescent="0.2">
      <c r="A145" t="s">
        <v>309</v>
      </c>
      <c r="B145" t="str" cm="1">
        <f t="array" ref="B145">INDEX(_xlfn.TEXTSPLIT(A145," - "),2)</f>
        <v>bondage</v>
      </c>
      <c r="C145" t="s">
        <v>23</v>
      </c>
      <c r="D145" t="s">
        <v>24</v>
      </c>
      <c r="E145">
        <v>7728118</v>
      </c>
      <c r="F145" t="s">
        <v>18</v>
      </c>
      <c r="G145">
        <v>0</v>
      </c>
      <c r="H145">
        <v>194</v>
      </c>
      <c r="I145">
        <v>1</v>
      </c>
      <c r="J145">
        <v>100.009</v>
      </c>
      <c r="K145">
        <v>0.19398254157125799</v>
      </c>
      <c r="L145">
        <v>0.51551030927834995</v>
      </c>
      <c r="M145">
        <v>0</v>
      </c>
      <c r="N145" t="s">
        <v>19</v>
      </c>
      <c r="O145" t="s">
        <v>20</v>
      </c>
      <c r="P145">
        <v>50</v>
      </c>
    </row>
    <row r="146" spans="1:16" x14ac:dyDescent="0.2">
      <c r="A146" t="s">
        <v>310</v>
      </c>
      <c r="B146" t="str" cm="1">
        <f t="array" ref="B146">INDEX(_xlfn.TEXTSPLIT(A146," - "),2)</f>
        <v>shibari</v>
      </c>
      <c r="C146" t="s">
        <v>252</v>
      </c>
      <c r="D146" t="s">
        <v>17</v>
      </c>
      <c r="E146">
        <v>7728096</v>
      </c>
      <c r="F146" t="s">
        <v>18</v>
      </c>
      <c r="G146">
        <v>0</v>
      </c>
      <c r="H146">
        <v>9</v>
      </c>
      <c r="I146">
        <v>1.60810957650273</v>
      </c>
      <c r="J146">
        <v>2.35427242</v>
      </c>
      <c r="K146">
        <v>0.61475409836065498</v>
      </c>
      <c r="L146">
        <v>0.261585824444444</v>
      </c>
      <c r="M146">
        <v>0</v>
      </c>
      <c r="N146" t="s">
        <v>19</v>
      </c>
      <c r="O146" t="s">
        <v>20</v>
      </c>
      <c r="P146">
        <v>200</v>
      </c>
    </row>
    <row r="147" spans="1:16" x14ac:dyDescent="0.2">
      <c r="A147" t="s">
        <v>311</v>
      </c>
      <c r="B147" t="str" cm="1">
        <f t="array" ref="B147">INDEX(_xlfn.TEXTSPLIT(A147," - "),2)</f>
        <v>vore</v>
      </c>
      <c r="C147" t="s">
        <v>252</v>
      </c>
      <c r="D147" t="s">
        <v>17</v>
      </c>
      <c r="E147">
        <v>7728076</v>
      </c>
      <c r="F147" t="s">
        <v>18</v>
      </c>
      <c r="G147">
        <v>0</v>
      </c>
      <c r="H147">
        <v>65</v>
      </c>
      <c r="I147">
        <v>1.47031644153753</v>
      </c>
      <c r="J147">
        <v>36.530011989999998</v>
      </c>
      <c r="K147">
        <v>0.26162205675186101</v>
      </c>
      <c r="L147">
        <v>0.56200018446153799</v>
      </c>
      <c r="M147">
        <v>0</v>
      </c>
      <c r="N147" t="s">
        <v>19</v>
      </c>
      <c r="O147" t="s">
        <v>20</v>
      </c>
      <c r="P147">
        <v>200</v>
      </c>
    </row>
    <row r="148" spans="1:16" x14ac:dyDescent="0.2">
      <c r="A148" t="s">
        <v>312</v>
      </c>
      <c r="B148" t="str" cm="1">
        <f t="array" ref="B148">INDEX(_xlfn.TEXTSPLIT(A148," - "),2)</f>
        <v>giantess</v>
      </c>
      <c r="C148" t="s">
        <v>252</v>
      </c>
      <c r="D148" t="s">
        <v>17</v>
      </c>
      <c r="E148">
        <v>7728056</v>
      </c>
      <c r="F148" t="s">
        <v>18</v>
      </c>
      <c r="G148">
        <v>0</v>
      </c>
      <c r="H148">
        <v>7</v>
      </c>
      <c r="I148">
        <v>1.58671949704142</v>
      </c>
      <c r="J148">
        <v>2.6815559499999999</v>
      </c>
      <c r="K148">
        <v>0.414201183431952</v>
      </c>
      <c r="L148">
        <v>0.38307942142857099</v>
      </c>
      <c r="M148">
        <v>0</v>
      </c>
      <c r="N148" t="s">
        <v>19</v>
      </c>
      <c r="O148" t="s">
        <v>20</v>
      </c>
      <c r="P148">
        <v>200</v>
      </c>
    </row>
    <row r="149" spans="1:16" x14ac:dyDescent="0.2">
      <c r="A149" t="s">
        <v>314</v>
      </c>
      <c r="B149" t="str" cm="1">
        <f t="array" ref="B149">INDEX(_xlfn.TEXTSPLIT(A149," - "),2)</f>
        <v>gaping</v>
      </c>
      <c r="C149" t="s">
        <v>252</v>
      </c>
      <c r="D149" t="s">
        <v>17</v>
      </c>
      <c r="E149">
        <v>7727988</v>
      </c>
      <c r="F149" t="s">
        <v>18</v>
      </c>
      <c r="G149">
        <v>0</v>
      </c>
      <c r="H149">
        <v>29</v>
      </c>
      <c r="I149">
        <v>0.999999999999999</v>
      </c>
      <c r="J149">
        <v>12.425999999999901</v>
      </c>
      <c r="K149">
        <v>0.23338161918557801</v>
      </c>
      <c r="L149">
        <v>0.42848275862068902</v>
      </c>
      <c r="M149">
        <v>0</v>
      </c>
      <c r="N149" t="s">
        <v>19</v>
      </c>
      <c r="O149" t="s">
        <v>20</v>
      </c>
      <c r="P149">
        <v>200</v>
      </c>
    </row>
    <row r="150" spans="1:16" x14ac:dyDescent="0.2">
      <c r="A150" t="s">
        <v>315</v>
      </c>
      <c r="B150" t="str" cm="1">
        <f t="array" ref="B150">INDEX(_xlfn.TEXTSPLIT(A150," - "),2)</f>
        <v>trampling</v>
      </c>
      <c r="C150" t="s">
        <v>252</v>
      </c>
      <c r="D150" t="s">
        <v>17</v>
      </c>
      <c r="E150">
        <v>7727968</v>
      </c>
      <c r="F150" t="s">
        <v>18</v>
      </c>
      <c r="G150">
        <v>0</v>
      </c>
      <c r="H150">
        <v>0</v>
      </c>
      <c r="I150">
        <v>1.5852856737588601</v>
      </c>
      <c r="J150">
        <v>0.67057584000000003</v>
      </c>
      <c r="K150">
        <v>0</v>
      </c>
      <c r="L150">
        <v>0</v>
      </c>
      <c r="M150">
        <v>0</v>
      </c>
      <c r="N150" t="s">
        <v>19</v>
      </c>
      <c r="O150" t="s">
        <v>20</v>
      </c>
      <c r="P150">
        <v>200</v>
      </c>
    </row>
    <row r="151" spans="1:16" x14ac:dyDescent="0.2">
      <c r="A151" t="s">
        <v>317</v>
      </c>
      <c r="B151" t="str" cm="1">
        <f t="array" ref="B151">INDEX(_xlfn.TEXTSPLIT(A151," - "),2)</f>
        <v>spanking</v>
      </c>
      <c r="C151" t="s">
        <v>23</v>
      </c>
      <c r="D151" t="s">
        <v>24</v>
      </c>
      <c r="E151">
        <v>7727926</v>
      </c>
      <c r="F151" t="s">
        <v>18</v>
      </c>
      <c r="G151">
        <v>0</v>
      </c>
      <c r="H151">
        <v>194</v>
      </c>
      <c r="I151">
        <v>1</v>
      </c>
      <c r="J151">
        <v>100.005</v>
      </c>
      <c r="K151">
        <v>0.19399030048497501</v>
      </c>
      <c r="L151">
        <v>0.51548969072164896</v>
      </c>
      <c r="M151">
        <v>0</v>
      </c>
      <c r="N151" t="s">
        <v>19</v>
      </c>
      <c r="O151" t="s">
        <v>20</v>
      </c>
      <c r="P151">
        <v>200</v>
      </c>
    </row>
    <row r="152" spans="1:16" x14ac:dyDescent="0.2">
      <c r="A152" t="s">
        <v>319</v>
      </c>
      <c r="B152" t="str" cm="1">
        <f t="array" ref="B152">INDEX(_xlfn.TEXTSPLIT(A152," - "),2)</f>
        <v>glasses</v>
      </c>
      <c r="C152" t="s">
        <v>252</v>
      </c>
      <c r="D152" t="s">
        <v>17</v>
      </c>
      <c r="E152">
        <v>7727884</v>
      </c>
      <c r="F152" t="s">
        <v>18</v>
      </c>
      <c r="G152">
        <v>0</v>
      </c>
      <c r="H152">
        <v>26</v>
      </c>
      <c r="I152">
        <v>1</v>
      </c>
      <c r="J152">
        <v>7.2610000000000001</v>
      </c>
      <c r="K152">
        <v>0.358077399807189</v>
      </c>
      <c r="L152">
        <v>0.27926923076922999</v>
      </c>
      <c r="M152">
        <v>0</v>
      </c>
      <c r="N152" t="s">
        <v>19</v>
      </c>
      <c r="O152" t="s">
        <v>20</v>
      </c>
      <c r="P152">
        <v>200</v>
      </c>
    </row>
    <row r="153" spans="1:16" x14ac:dyDescent="0.2">
      <c r="A153" t="s">
        <v>320</v>
      </c>
      <c r="B153" t="str" cm="1">
        <f t="array" ref="B153">INDEX(_xlfn.TEXTSPLIT(A153," - "),2)</f>
        <v>heels</v>
      </c>
      <c r="C153" t="s">
        <v>252</v>
      </c>
      <c r="D153" t="s">
        <v>17</v>
      </c>
      <c r="E153">
        <v>7727864</v>
      </c>
      <c r="F153" t="s">
        <v>18</v>
      </c>
      <c r="G153">
        <v>0</v>
      </c>
      <c r="H153">
        <v>25</v>
      </c>
      <c r="I153">
        <v>1</v>
      </c>
      <c r="J153">
        <v>8.6910000000000007</v>
      </c>
      <c r="K153">
        <v>0.28765389483373599</v>
      </c>
      <c r="L153">
        <v>0.34764</v>
      </c>
      <c r="M153">
        <v>0</v>
      </c>
      <c r="N153" t="s">
        <v>19</v>
      </c>
      <c r="O153" t="s">
        <v>20</v>
      </c>
      <c r="P153">
        <v>200</v>
      </c>
    </row>
    <row r="154" spans="1:16" x14ac:dyDescent="0.2">
      <c r="A154" t="s">
        <v>321</v>
      </c>
      <c r="B154" t="str" cm="1">
        <f t="array" ref="B154">INDEX(_xlfn.TEXTSPLIT(A154," - "),2)</f>
        <v>stockings</v>
      </c>
      <c r="C154" t="s">
        <v>252</v>
      </c>
      <c r="D154" t="s">
        <v>17</v>
      </c>
      <c r="E154">
        <v>7727836</v>
      </c>
      <c r="F154" t="s">
        <v>18</v>
      </c>
      <c r="G154">
        <v>0</v>
      </c>
      <c r="H154">
        <v>37</v>
      </c>
      <c r="I154">
        <v>1</v>
      </c>
      <c r="J154">
        <v>9.5359999999999996</v>
      </c>
      <c r="K154">
        <v>0.38800335570469802</v>
      </c>
      <c r="L154">
        <v>0.25772972972972902</v>
      </c>
      <c r="M154">
        <v>0</v>
      </c>
      <c r="N154" t="s">
        <v>19</v>
      </c>
      <c r="O154" t="s">
        <v>20</v>
      </c>
      <c r="P154">
        <v>200</v>
      </c>
    </row>
    <row r="155" spans="1:16" x14ac:dyDescent="0.2">
      <c r="A155" t="s">
        <v>322</v>
      </c>
      <c r="B155" t="str" cm="1">
        <f t="array" ref="B155">INDEX(_xlfn.TEXTSPLIT(A155," - "),2)</f>
        <v>uniform</v>
      </c>
      <c r="C155" t="s">
        <v>252</v>
      </c>
      <c r="D155" t="s">
        <v>17</v>
      </c>
      <c r="E155">
        <v>7727816</v>
      </c>
      <c r="F155" t="s">
        <v>18</v>
      </c>
      <c r="G155">
        <v>0</v>
      </c>
      <c r="H155">
        <v>23</v>
      </c>
      <c r="I155">
        <v>1</v>
      </c>
      <c r="J155">
        <v>10.875999999999999</v>
      </c>
      <c r="K155">
        <v>0.21147480691430601</v>
      </c>
      <c r="L155">
        <v>0.47286956521739099</v>
      </c>
      <c r="M155">
        <v>0</v>
      </c>
      <c r="N155" t="s">
        <v>19</v>
      </c>
      <c r="O155" t="s">
        <v>20</v>
      </c>
      <c r="P155">
        <v>200</v>
      </c>
    </row>
    <row r="156" spans="1:16" x14ac:dyDescent="0.2">
      <c r="A156" t="s">
        <v>323</v>
      </c>
      <c r="B156" t="str" cm="1">
        <f t="array" ref="B156">INDEX(_xlfn.TEXTSPLIT(A156," - "),2)</f>
        <v>leather</v>
      </c>
      <c r="C156" t="s">
        <v>252</v>
      </c>
      <c r="D156" t="s">
        <v>17</v>
      </c>
      <c r="E156">
        <v>7727796</v>
      </c>
      <c r="F156" t="s">
        <v>18</v>
      </c>
      <c r="G156">
        <v>0</v>
      </c>
      <c r="H156">
        <v>25</v>
      </c>
      <c r="I156">
        <v>1.4057747559529199</v>
      </c>
      <c r="J156">
        <v>15.408697099999999</v>
      </c>
      <c r="K156">
        <v>0.22808137943618201</v>
      </c>
      <c r="L156">
        <v>0.61634788399999996</v>
      </c>
      <c r="M156">
        <v>0</v>
      </c>
      <c r="N156" t="s">
        <v>19</v>
      </c>
      <c r="O156" t="s">
        <v>20</v>
      </c>
      <c r="P156">
        <v>200</v>
      </c>
    </row>
    <row r="157" spans="1:16" x14ac:dyDescent="0.2">
      <c r="A157" t="s">
        <v>327</v>
      </c>
      <c r="B157" t="str" cm="1">
        <f t="array" ref="B157">INDEX(_xlfn.TEXTSPLIT(A157," - "),2)</f>
        <v>italian</v>
      </c>
      <c r="C157" t="s">
        <v>23</v>
      </c>
      <c r="D157" t="s">
        <v>24</v>
      </c>
      <c r="E157">
        <v>7727714</v>
      </c>
      <c r="F157" t="s">
        <v>18</v>
      </c>
      <c r="G157">
        <v>0</v>
      </c>
      <c r="H157">
        <v>184</v>
      </c>
      <c r="I157">
        <v>1.7179689733331001</v>
      </c>
      <c r="J157">
        <v>100.0493591</v>
      </c>
      <c r="K157">
        <v>0.31595034084860102</v>
      </c>
      <c r="L157">
        <v>0.54374651684782604</v>
      </c>
      <c r="M157">
        <v>0</v>
      </c>
      <c r="N157" t="s">
        <v>19</v>
      </c>
      <c r="O157" t="s">
        <v>20</v>
      </c>
      <c r="P157">
        <v>200</v>
      </c>
    </row>
    <row r="158" spans="1:16" x14ac:dyDescent="0.2">
      <c r="A158" t="s">
        <v>328</v>
      </c>
      <c r="B158" t="str" cm="1">
        <f t="array" ref="B158">INDEX(_xlfn.TEXTSPLIT(A158," - "),2)</f>
        <v>french</v>
      </c>
      <c r="C158" t="s">
        <v>252</v>
      </c>
      <c r="D158" t="s">
        <v>329</v>
      </c>
      <c r="E158">
        <v>7727694</v>
      </c>
      <c r="F158" t="s">
        <v>18</v>
      </c>
      <c r="G158">
        <v>0</v>
      </c>
      <c r="H158">
        <v>151</v>
      </c>
      <c r="I158">
        <v>1.4690354544920601</v>
      </c>
      <c r="J158">
        <v>100.05453577</v>
      </c>
      <c r="K158">
        <v>0.221703445946937</v>
      </c>
      <c r="L158">
        <v>0.66261281966887398</v>
      </c>
      <c r="M158">
        <v>0</v>
      </c>
      <c r="N158" t="s">
        <v>19</v>
      </c>
      <c r="O158" t="s">
        <v>20</v>
      </c>
      <c r="P158">
        <v>200</v>
      </c>
    </row>
    <row r="159" spans="1:16" x14ac:dyDescent="0.2">
      <c r="A159" t="s">
        <v>330</v>
      </c>
      <c r="B159" t="str" cm="1">
        <f t="array" ref="B159">INDEX(_xlfn.TEXTSPLIT(A159," - "),2)</f>
        <v>german</v>
      </c>
      <c r="C159" t="s">
        <v>252</v>
      </c>
      <c r="D159" t="s">
        <v>17</v>
      </c>
      <c r="E159">
        <v>7727672</v>
      </c>
      <c r="F159" t="s">
        <v>18</v>
      </c>
      <c r="G159">
        <v>0</v>
      </c>
      <c r="H159">
        <v>31</v>
      </c>
      <c r="I159">
        <v>1</v>
      </c>
      <c r="J159">
        <v>11.948</v>
      </c>
      <c r="K159">
        <v>0.259457649815868</v>
      </c>
      <c r="L159">
        <v>0.38541935483870898</v>
      </c>
      <c r="M159">
        <v>0</v>
      </c>
      <c r="N159" t="s">
        <v>19</v>
      </c>
      <c r="O159" t="s">
        <v>20</v>
      </c>
      <c r="P159">
        <v>200</v>
      </c>
    </row>
    <row r="160" spans="1:16" x14ac:dyDescent="0.2">
      <c r="A160" t="s">
        <v>331</v>
      </c>
      <c r="B160" t="str" cm="1">
        <f t="array" ref="B160">INDEX(_xlfn.TEXTSPLIT(A160," - "),2)</f>
        <v>russian</v>
      </c>
      <c r="C160" t="s">
        <v>252</v>
      </c>
      <c r="D160" t="s">
        <v>17</v>
      </c>
      <c r="E160">
        <v>7727652</v>
      </c>
      <c r="F160" t="s">
        <v>18</v>
      </c>
      <c r="G160">
        <v>0</v>
      </c>
      <c r="H160">
        <v>139</v>
      </c>
      <c r="I160">
        <v>1</v>
      </c>
      <c r="J160">
        <v>21.701999999999899</v>
      </c>
      <c r="K160">
        <v>0.64049396368998202</v>
      </c>
      <c r="L160">
        <v>0.15612949640287699</v>
      </c>
      <c r="M160">
        <v>0</v>
      </c>
      <c r="N160" t="s">
        <v>19</v>
      </c>
      <c r="O160" t="s">
        <v>20</v>
      </c>
      <c r="P160">
        <v>200</v>
      </c>
    </row>
    <row r="161" spans="1:16" x14ac:dyDescent="0.2">
      <c r="A161" t="s">
        <v>332</v>
      </c>
      <c r="B161" t="str" cm="1">
        <f t="array" ref="B161">INDEX(_xlfn.TEXTSPLIT(A161," - "),2)</f>
        <v>thailand</v>
      </c>
      <c r="C161" t="s">
        <v>23</v>
      </c>
      <c r="D161" t="s">
        <v>24</v>
      </c>
      <c r="E161">
        <v>7727628</v>
      </c>
      <c r="F161" t="s">
        <v>18</v>
      </c>
      <c r="G161">
        <v>0</v>
      </c>
      <c r="H161">
        <v>152</v>
      </c>
      <c r="I161">
        <v>1.6591052739669201</v>
      </c>
      <c r="J161">
        <v>100.01252502</v>
      </c>
      <c r="K161">
        <v>0.25215241950199802</v>
      </c>
      <c r="L161">
        <v>0.65797713828947302</v>
      </c>
      <c r="M161">
        <v>0</v>
      </c>
      <c r="N161" t="s">
        <v>19</v>
      </c>
      <c r="O161" t="s">
        <v>20</v>
      </c>
      <c r="P161">
        <v>200</v>
      </c>
    </row>
    <row r="162" spans="1:16" x14ac:dyDescent="0.2">
      <c r="A162" t="s">
        <v>333</v>
      </c>
      <c r="B162" t="str" cm="1">
        <f t="array" ref="B162">INDEX(_xlfn.TEXTSPLIT(A162," - "),2)</f>
        <v>korean</v>
      </c>
      <c r="C162" t="s">
        <v>252</v>
      </c>
      <c r="D162" t="s">
        <v>17</v>
      </c>
      <c r="E162">
        <v>7727608</v>
      </c>
      <c r="F162" t="s">
        <v>18</v>
      </c>
      <c r="G162">
        <v>0</v>
      </c>
      <c r="H162">
        <v>19</v>
      </c>
      <c r="I162">
        <v>1</v>
      </c>
      <c r="J162">
        <v>11.613</v>
      </c>
      <c r="K162">
        <v>0.16360974769654599</v>
      </c>
      <c r="L162">
        <v>0.61121052631578898</v>
      </c>
      <c r="M162">
        <v>0</v>
      </c>
      <c r="N162" t="s">
        <v>19</v>
      </c>
      <c r="O162" t="s">
        <v>20</v>
      </c>
      <c r="P162">
        <v>200</v>
      </c>
    </row>
    <row r="163" spans="1:16" x14ac:dyDescent="0.2">
      <c r="A163" t="s">
        <v>334</v>
      </c>
      <c r="B163" t="str" cm="1">
        <f t="array" ref="B163">INDEX(_xlfn.TEXTSPLIT(A163," - "),2)</f>
        <v>shower</v>
      </c>
      <c r="C163" t="s">
        <v>23</v>
      </c>
      <c r="D163" t="s">
        <v>24</v>
      </c>
      <c r="E163">
        <v>7727588</v>
      </c>
      <c r="F163" t="s">
        <v>18</v>
      </c>
      <c r="G163">
        <v>0</v>
      </c>
      <c r="H163">
        <v>142</v>
      </c>
      <c r="I163">
        <v>1</v>
      </c>
      <c r="J163">
        <v>65.091999999999999</v>
      </c>
      <c r="K163">
        <v>0.21815276838935599</v>
      </c>
      <c r="L163">
        <v>0.45839436619718299</v>
      </c>
      <c r="M163">
        <v>0</v>
      </c>
      <c r="N163" t="s">
        <v>19</v>
      </c>
      <c r="O163" t="s">
        <v>20</v>
      </c>
      <c r="P163">
        <v>200</v>
      </c>
    </row>
    <row r="164" spans="1:16" x14ac:dyDescent="0.2">
      <c r="A164" t="s">
        <v>335</v>
      </c>
      <c r="B164" t="str" cm="1">
        <f t="array" ref="B164">INDEX(_xlfn.TEXTSPLIT(A164," - "),2)</f>
        <v>secretary</v>
      </c>
      <c r="C164" t="s">
        <v>252</v>
      </c>
      <c r="D164" t="s">
        <v>17</v>
      </c>
      <c r="E164">
        <v>7727568</v>
      </c>
      <c r="F164" t="s">
        <v>18</v>
      </c>
      <c r="G164">
        <v>0</v>
      </c>
      <c r="H164">
        <v>29</v>
      </c>
      <c r="I164">
        <v>1</v>
      </c>
      <c r="J164">
        <v>15.565</v>
      </c>
      <c r="K164">
        <v>0.186315451333119</v>
      </c>
      <c r="L164">
        <v>0.53672413793103402</v>
      </c>
      <c r="M164">
        <v>0</v>
      </c>
      <c r="N164" t="s">
        <v>19</v>
      </c>
      <c r="O164" t="s">
        <v>20</v>
      </c>
      <c r="P164">
        <v>50</v>
      </c>
    </row>
    <row r="165" spans="1:16" x14ac:dyDescent="0.2">
      <c r="A165" t="s">
        <v>338</v>
      </c>
      <c r="B165" t="str" cm="1">
        <f t="array" ref="B165">INDEX(_xlfn.TEXTSPLIT(A165," - "),2)</f>
        <v>tattoo</v>
      </c>
      <c r="C165" t="s">
        <v>23</v>
      </c>
      <c r="D165" t="s">
        <v>24</v>
      </c>
      <c r="E165">
        <v>7727504</v>
      </c>
      <c r="F165" t="s">
        <v>18</v>
      </c>
      <c r="G165">
        <v>0</v>
      </c>
      <c r="H165">
        <v>280</v>
      </c>
      <c r="I165">
        <v>1</v>
      </c>
      <c r="J165">
        <v>100.015</v>
      </c>
      <c r="K165">
        <v>0.27995800629905498</v>
      </c>
      <c r="L165">
        <v>0.35719642857142803</v>
      </c>
      <c r="M165">
        <v>0</v>
      </c>
      <c r="N165" t="s">
        <v>19</v>
      </c>
      <c r="O165" t="s">
        <v>20</v>
      </c>
      <c r="P165">
        <v>50</v>
      </c>
    </row>
    <row r="166" spans="1:16" x14ac:dyDescent="0.2">
      <c r="A166" t="s">
        <v>339</v>
      </c>
      <c r="B166" t="str" cm="1">
        <f t="array" ref="B166">INDEX(_xlfn.TEXTSPLIT(A166," - "),2)</f>
        <v>pantyhose</v>
      </c>
      <c r="C166" t="s">
        <v>252</v>
      </c>
      <c r="D166" t="s">
        <v>329</v>
      </c>
      <c r="E166">
        <v>7727480</v>
      </c>
      <c r="F166" t="s">
        <v>18</v>
      </c>
      <c r="G166">
        <v>0</v>
      </c>
      <c r="H166">
        <v>197</v>
      </c>
      <c r="I166">
        <v>1.54138468606998</v>
      </c>
      <c r="J166">
        <v>100.04049028</v>
      </c>
      <c r="K166">
        <v>0.303529883056253</v>
      </c>
      <c r="L166">
        <v>0.507819747614213</v>
      </c>
      <c r="M166">
        <v>0</v>
      </c>
      <c r="N166" t="s">
        <v>19</v>
      </c>
      <c r="O166" t="s">
        <v>20</v>
      </c>
      <c r="P166">
        <v>200</v>
      </c>
    </row>
    <row r="167" spans="1:16" x14ac:dyDescent="0.2">
      <c r="A167" t="s">
        <v>353</v>
      </c>
      <c r="B167" t="str" cm="1">
        <f t="array" ref="B167">INDEX(_xlfn.TEXTSPLIT(A167," - "),2)</f>
        <v>emo</v>
      </c>
      <c r="C167" t="s">
        <v>23</v>
      </c>
      <c r="D167" t="s">
        <v>24</v>
      </c>
      <c r="E167">
        <v>7727130</v>
      </c>
      <c r="F167" t="s">
        <v>18</v>
      </c>
      <c r="G167">
        <v>0</v>
      </c>
      <c r="H167">
        <v>159</v>
      </c>
      <c r="I167">
        <v>1.75481030418117</v>
      </c>
      <c r="J167">
        <v>100.264596349999</v>
      </c>
      <c r="K167">
        <v>0.278278523548663</v>
      </c>
      <c r="L167">
        <v>0.63059494559748397</v>
      </c>
      <c r="M167">
        <v>0</v>
      </c>
      <c r="N167" t="s">
        <v>19</v>
      </c>
      <c r="O167" t="s">
        <v>20</v>
      </c>
      <c r="P167">
        <v>50</v>
      </c>
    </row>
    <row r="168" spans="1:16" x14ac:dyDescent="0.2">
      <c r="A168" t="s">
        <v>355</v>
      </c>
      <c r="B168" t="str" cm="1">
        <f t="array" ref="B168">INDEX(_xlfn.TEXTSPLIT(A168," - "),2)</f>
        <v>thick</v>
      </c>
      <c r="C168" t="s">
        <v>23</v>
      </c>
      <c r="D168" t="s">
        <v>24</v>
      </c>
      <c r="E168">
        <v>7727072</v>
      </c>
      <c r="F168" t="s">
        <v>18</v>
      </c>
      <c r="G168">
        <v>0</v>
      </c>
      <c r="H168">
        <v>206</v>
      </c>
      <c r="I168">
        <v>1</v>
      </c>
      <c r="J168">
        <v>100.008</v>
      </c>
      <c r="K168">
        <v>0.20598352131829401</v>
      </c>
      <c r="L168">
        <v>0.48547572815533901</v>
      </c>
      <c r="M168">
        <v>0</v>
      </c>
      <c r="N168" t="s">
        <v>19</v>
      </c>
      <c r="O168" t="s">
        <v>20</v>
      </c>
      <c r="P168">
        <v>50</v>
      </c>
    </row>
    <row r="169" spans="1:16" x14ac:dyDescent="0.2">
      <c r="A169" t="s">
        <v>356</v>
      </c>
      <c r="B169" t="str" cm="1">
        <f t="array" ref="B169">INDEX(_xlfn.TEXTSPLIT(A169," - "),2)</f>
        <v>college</v>
      </c>
      <c r="C169" t="s">
        <v>252</v>
      </c>
      <c r="D169" t="s">
        <v>17</v>
      </c>
      <c r="E169">
        <v>7727046</v>
      </c>
      <c r="F169" t="s">
        <v>18</v>
      </c>
      <c r="G169">
        <v>0</v>
      </c>
      <c r="H169">
        <v>96</v>
      </c>
      <c r="I169">
        <v>1</v>
      </c>
      <c r="J169">
        <v>32.957000000000001</v>
      </c>
      <c r="K169">
        <v>0.29128864884546501</v>
      </c>
      <c r="L169">
        <v>0.34330208333333301</v>
      </c>
      <c r="M169">
        <v>0</v>
      </c>
      <c r="N169" t="s">
        <v>19</v>
      </c>
      <c r="O169" t="s">
        <v>20</v>
      </c>
      <c r="P169">
        <v>50</v>
      </c>
    </row>
    <row r="170" spans="1:16" x14ac:dyDescent="0.2">
      <c r="A170" t="s">
        <v>359</v>
      </c>
      <c r="B170" t="str" cm="1">
        <f t="array" ref="B170">INDEX(_xlfn.TEXTSPLIT(A170," - "),2)</f>
        <v>fetish</v>
      </c>
      <c r="C170" t="s">
        <v>23</v>
      </c>
      <c r="D170" t="s">
        <v>24</v>
      </c>
      <c r="E170">
        <v>7726976</v>
      </c>
      <c r="F170" t="s">
        <v>18</v>
      </c>
      <c r="G170">
        <v>0</v>
      </c>
      <c r="H170">
        <v>258</v>
      </c>
      <c r="I170">
        <v>0.999999999999999</v>
      </c>
      <c r="J170">
        <v>100.012999999999</v>
      </c>
      <c r="K170">
        <v>0.257966464359633</v>
      </c>
      <c r="L170">
        <v>0.38764728682170502</v>
      </c>
      <c r="M170">
        <v>0</v>
      </c>
      <c r="N170" t="s">
        <v>19</v>
      </c>
      <c r="O170" t="s">
        <v>20</v>
      </c>
      <c r="P170">
        <v>50</v>
      </c>
    </row>
    <row r="171" spans="1:16" x14ac:dyDescent="0.2">
      <c r="A171" t="s">
        <v>361</v>
      </c>
      <c r="B171" t="str" cm="1">
        <f t="array" ref="B171">INDEX(_xlfn.TEXTSPLIT(A171," - "),2)</f>
        <v>redhead</v>
      </c>
      <c r="C171" t="s">
        <v>23</v>
      </c>
      <c r="D171" t="s">
        <v>24</v>
      </c>
      <c r="E171">
        <v>7726906</v>
      </c>
      <c r="F171" t="s">
        <v>18</v>
      </c>
      <c r="G171">
        <v>0</v>
      </c>
      <c r="H171">
        <v>275</v>
      </c>
      <c r="I171">
        <v>1</v>
      </c>
      <c r="J171">
        <v>100.017</v>
      </c>
      <c r="K171">
        <v>0.274953257946149</v>
      </c>
      <c r="L171">
        <v>0.36369818181818098</v>
      </c>
      <c r="M171">
        <v>0</v>
      </c>
      <c r="N171" t="s">
        <v>19</v>
      </c>
      <c r="O171" t="s">
        <v>20</v>
      </c>
      <c r="P171">
        <v>200</v>
      </c>
    </row>
    <row r="172" spans="1:16" x14ac:dyDescent="0.2">
      <c r="A172" t="s">
        <v>362</v>
      </c>
      <c r="B172" t="str" cm="1">
        <f t="array" ref="B172">INDEX(_xlfn.TEXTSPLIT(A172," - "),2)</f>
        <v>nurse</v>
      </c>
      <c r="C172" t="s">
        <v>252</v>
      </c>
      <c r="D172" t="s">
        <v>17</v>
      </c>
      <c r="E172">
        <v>7726882</v>
      </c>
      <c r="F172" t="s">
        <v>18</v>
      </c>
      <c r="G172">
        <v>0</v>
      </c>
      <c r="H172">
        <v>28</v>
      </c>
      <c r="I172">
        <v>0.999999999999999</v>
      </c>
      <c r="J172">
        <v>8.1489999999999991</v>
      </c>
      <c r="K172">
        <v>0.343600441771996</v>
      </c>
      <c r="L172">
        <v>0.29103571428571401</v>
      </c>
      <c r="M172">
        <v>0</v>
      </c>
      <c r="N172" t="s">
        <v>19</v>
      </c>
      <c r="O172" t="s">
        <v>20</v>
      </c>
      <c r="P172">
        <v>50</v>
      </c>
    </row>
    <row r="173" spans="1:16" x14ac:dyDescent="0.2">
      <c r="A173" t="s">
        <v>363</v>
      </c>
      <c r="B173" t="str" cm="1">
        <f t="array" ref="B173">INDEX(_xlfn.TEXTSPLIT(A173," - "),2)</f>
        <v>teacher</v>
      </c>
      <c r="C173" t="s">
        <v>252</v>
      </c>
      <c r="D173" t="s">
        <v>17</v>
      </c>
      <c r="E173">
        <v>7726838</v>
      </c>
      <c r="F173" t="s">
        <v>18</v>
      </c>
      <c r="G173">
        <v>0</v>
      </c>
      <c r="H173">
        <v>48</v>
      </c>
      <c r="I173">
        <v>1</v>
      </c>
      <c r="J173">
        <v>12.964</v>
      </c>
      <c r="K173">
        <v>0.37025609379821001</v>
      </c>
      <c r="L173">
        <v>0.27008333333333301</v>
      </c>
      <c r="M173">
        <v>0</v>
      </c>
      <c r="N173" t="s">
        <v>19</v>
      </c>
      <c r="O173" t="s">
        <v>20</v>
      </c>
      <c r="P173">
        <v>50</v>
      </c>
    </row>
    <row r="174" spans="1:16" x14ac:dyDescent="0.2">
      <c r="A174" t="s">
        <v>364</v>
      </c>
      <c r="B174" t="str" cm="1">
        <f t="array" ref="B174">INDEX(_xlfn.TEXTSPLIT(A174," - "),2)</f>
        <v>bbw</v>
      </c>
      <c r="C174" t="s">
        <v>252</v>
      </c>
      <c r="D174" t="s">
        <v>17</v>
      </c>
      <c r="E174">
        <v>7726818</v>
      </c>
      <c r="F174" t="s">
        <v>18</v>
      </c>
      <c r="G174">
        <v>0</v>
      </c>
      <c r="H174">
        <v>41</v>
      </c>
      <c r="I174">
        <v>1</v>
      </c>
      <c r="J174">
        <v>16.329000000000001</v>
      </c>
      <c r="K174">
        <v>0.25108702308775799</v>
      </c>
      <c r="L174">
        <v>0.39826829268292602</v>
      </c>
      <c r="M174">
        <v>0</v>
      </c>
      <c r="N174" t="s">
        <v>19</v>
      </c>
      <c r="O174" t="s">
        <v>20</v>
      </c>
      <c r="P174">
        <v>50</v>
      </c>
    </row>
    <row r="175" spans="1:16" x14ac:dyDescent="0.2">
      <c r="A175" t="s">
        <v>369</v>
      </c>
      <c r="B175" t="str" cm="1">
        <f t="array" ref="B175">INDEX(_xlfn.TEXTSPLIT(A175," - "),2)</f>
        <v>gangbang</v>
      </c>
      <c r="C175" t="s">
        <v>23</v>
      </c>
      <c r="D175" t="s">
        <v>24</v>
      </c>
      <c r="E175">
        <v>7726668</v>
      </c>
      <c r="F175" t="s">
        <v>18</v>
      </c>
      <c r="G175">
        <v>0</v>
      </c>
      <c r="H175">
        <v>230</v>
      </c>
      <c r="I175">
        <v>1</v>
      </c>
      <c r="J175">
        <v>100.044</v>
      </c>
      <c r="K175">
        <v>0.22989884450841599</v>
      </c>
      <c r="L175">
        <v>0.43497391304347799</v>
      </c>
      <c r="M175">
        <v>0</v>
      </c>
      <c r="N175" t="s">
        <v>19</v>
      </c>
      <c r="O175" t="s">
        <v>20</v>
      </c>
      <c r="P175">
        <v>50</v>
      </c>
    </row>
    <row r="176" spans="1:16" x14ac:dyDescent="0.2">
      <c r="A176" t="s">
        <v>372</v>
      </c>
      <c r="B176" t="str" cm="1">
        <f t="array" ref="B176">INDEX(_xlfn.TEXTSPLIT(A176," - "),2)</f>
        <v>massage</v>
      </c>
      <c r="C176" t="s">
        <v>23</v>
      </c>
      <c r="D176" t="s">
        <v>24</v>
      </c>
      <c r="E176">
        <v>7726578</v>
      </c>
      <c r="F176" t="s">
        <v>18</v>
      </c>
      <c r="G176">
        <v>0</v>
      </c>
      <c r="H176">
        <v>271</v>
      </c>
      <c r="I176">
        <v>1</v>
      </c>
      <c r="J176">
        <v>100.006</v>
      </c>
      <c r="K176">
        <v>0.27098374097554101</v>
      </c>
      <c r="L176">
        <v>0.36902583025830199</v>
      </c>
      <c r="M176">
        <v>0</v>
      </c>
      <c r="N176" t="s">
        <v>19</v>
      </c>
      <c r="O176" t="s">
        <v>20</v>
      </c>
      <c r="P176">
        <v>200</v>
      </c>
    </row>
    <row r="177" spans="1:16" x14ac:dyDescent="0.2">
      <c r="A177" t="s">
        <v>379</v>
      </c>
      <c r="B177" t="str" cm="1">
        <f t="array" ref="B177">INDEX(_xlfn.TEXTSPLIT(A177," - "),2)</f>
        <v>pinay</v>
      </c>
      <c r="C177" t="s">
        <v>23</v>
      </c>
      <c r="D177" t="s">
        <v>24</v>
      </c>
      <c r="E177">
        <v>7726280</v>
      </c>
      <c r="F177" t="s">
        <v>18</v>
      </c>
      <c r="G177">
        <v>0</v>
      </c>
      <c r="H177">
        <v>178</v>
      </c>
      <c r="I177">
        <v>1.63704600945649</v>
      </c>
      <c r="J177">
        <v>100.05952619</v>
      </c>
      <c r="K177">
        <v>0.29122083701449503</v>
      </c>
      <c r="L177">
        <v>0.56213216960674095</v>
      </c>
      <c r="M177">
        <v>0</v>
      </c>
      <c r="N177" t="s">
        <v>19</v>
      </c>
      <c r="O177" t="s">
        <v>20</v>
      </c>
      <c r="P177">
        <v>200</v>
      </c>
    </row>
    <row r="178" spans="1:16" x14ac:dyDescent="0.2">
      <c r="A178" t="s">
        <v>384</v>
      </c>
      <c r="B178" t="str" cm="1">
        <f t="array" ref="B178">INDEX(_xlfn.TEXTSPLIT(A178," - "),2)</f>
        <v>Findom</v>
      </c>
      <c r="C178" t="s">
        <v>252</v>
      </c>
      <c r="D178" t="s">
        <v>17</v>
      </c>
      <c r="E178">
        <v>7718258</v>
      </c>
      <c r="F178" t="s">
        <v>18</v>
      </c>
      <c r="G178">
        <v>0</v>
      </c>
      <c r="H178">
        <v>8</v>
      </c>
      <c r="I178">
        <v>1.6800208511777299</v>
      </c>
      <c r="J178">
        <v>3.1382789500000001</v>
      </c>
      <c r="K178">
        <v>0.42826552462526701</v>
      </c>
      <c r="L178">
        <v>0.39228486875000002</v>
      </c>
      <c r="M178">
        <v>0</v>
      </c>
      <c r="N178" t="s">
        <v>19</v>
      </c>
      <c r="O178" t="s">
        <v>20</v>
      </c>
      <c r="P178">
        <v>200</v>
      </c>
    </row>
    <row r="179" spans="1:16" x14ac:dyDescent="0.2">
      <c r="A179" t="s">
        <v>385</v>
      </c>
      <c r="B179" t="str" cm="1">
        <f t="array" ref="B179">INDEX(_xlfn.TEXTSPLIT(A179," - "),2)</f>
        <v>Cosplay</v>
      </c>
      <c r="C179" t="s">
        <v>252</v>
      </c>
      <c r="D179" t="s">
        <v>17</v>
      </c>
      <c r="E179">
        <v>7718248</v>
      </c>
      <c r="F179" t="s">
        <v>18</v>
      </c>
      <c r="G179">
        <v>0</v>
      </c>
      <c r="H179">
        <v>28</v>
      </c>
      <c r="I179">
        <v>1</v>
      </c>
      <c r="J179">
        <v>5.6029999999999998</v>
      </c>
      <c r="K179">
        <v>0.49973228627520899</v>
      </c>
      <c r="L179">
        <v>0.20010714285714201</v>
      </c>
      <c r="M179">
        <v>0</v>
      </c>
      <c r="N179" t="s">
        <v>19</v>
      </c>
      <c r="O179" t="s">
        <v>20</v>
      </c>
      <c r="P179">
        <v>200</v>
      </c>
    </row>
    <row r="180" spans="1:16" x14ac:dyDescent="0.2">
      <c r="A180" t="s">
        <v>387</v>
      </c>
      <c r="B180" t="str" cm="1">
        <f t="array" ref="B180">INDEX(_xlfn.TEXTSPLIT(A180," - "),2)</f>
        <v>Vtuber</v>
      </c>
      <c r="C180" t="s">
        <v>252</v>
      </c>
      <c r="D180" t="s">
        <v>17</v>
      </c>
      <c r="E180">
        <v>7718216</v>
      </c>
      <c r="F180" t="s">
        <v>18</v>
      </c>
      <c r="G180">
        <v>0</v>
      </c>
      <c r="H180">
        <v>2</v>
      </c>
      <c r="I180">
        <v>1.55521661016949</v>
      </c>
      <c r="J180">
        <v>0.55054667999999995</v>
      </c>
      <c r="K180">
        <v>0.56497175141242895</v>
      </c>
      <c r="L180">
        <v>0.27527333999999998</v>
      </c>
      <c r="M180">
        <v>0</v>
      </c>
      <c r="N180" t="s">
        <v>19</v>
      </c>
      <c r="O180" t="s">
        <v>20</v>
      </c>
      <c r="P180">
        <v>200</v>
      </c>
    </row>
    <row r="181" spans="1:16" x14ac:dyDescent="0.2">
      <c r="A181" t="s">
        <v>388</v>
      </c>
      <c r="B181" t="str" cm="1">
        <f t="array" ref="B181">INDEX(_xlfn.TEXTSPLIT(A181," - "),2)</f>
        <v>Sexdoll</v>
      </c>
      <c r="C181" t="s">
        <v>252</v>
      </c>
      <c r="D181" t="s">
        <v>17</v>
      </c>
      <c r="E181">
        <v>7718186</v>
      </c>
      <c r="F181" t="s">
        <v>18</v>
      </c>
      <c r="G181">
        <v>0</v>
      </c>
      <c r="H181">
        <v>6</v>
      </c>
      <c r="I181">
        <v>1.5160385058505801</v>
      </c>
      <c r="J181">
        <v>3.3686375599999998</v>
      </c>
      <c r="K181">
        <v>0.27002700270027002</v>
      </c>
      <c r="L181">
        <v>0.56143959333333304</v>
      </c>
      <c r="M181">
        <v>0</v>
      </c>
      <c r="N181" t="s">
        <v>19</v>
      </c>
      <c r="O181" t="s">
        <v>20</v>
      </c>
      <c r="P181">
        <v>200</v>
      </c>
    </row>
    <row r="182" spans="1:16" x14ac:dyDescent="0.2">
      <c r="A182" t="s">
        <v>390</v>
      </c>
      <c r="B182" t="str" cm="1">
        <f t="array" ref="B182">INDEX(_xlfn.TEXTSPLIT(A182," - "),2)</f>
        <v>Marvel</v>
      </c>
      <c r="C182" t="s">
        <v>252</v>
      </c>
      <c r="D182" t="s">
        <v>17</v>
      </c>
      <c r="E182">
        <v>7718164</v>
      </c>
      <c r="F182" t="s">
        <v>18</v>
      </c>
      <c r="G182">
        <v>0</v>
      </c>
      <c r="H182">
        <v>41</v>
      </c>
      <c r="I182">
        <v>1.6206979215475901</v>
      </c>
      <c r="J182">
        <v>39.29220041</v>
      </c>
      <c r="K182">
        <v>0.16911400758950601</v>
      </c>
      <c r="L182">
        <v>0.95834635146341396</v>
      </c>
      <c r="M182">
        <v>0</v>
      </c>
      <c r="N182" t="s">
        <v>19</v>
      </c>
      <c r="O182" t="s">
        <v>20</v>
      </c>
      <c r="P182">
        <v>200</v>
      </c>
    </row>
    <row r="183" spans="1:16" x14ac:dyDescent="0.2">
      <c r="A183" t="s">
        <v>391</v>
      </c>
      <c r="B183" t="str" cm="1">
        <f t="array" ref="B183">INDEX(_xlfn.TEXTSPLIT(A183," - "),2)</f>
        <v>Pegging</v>
      </c>
      <c r="C183" t="s">
        <v>252</v>
      </c>
      <c r="D183" t="s">
        <v>17</v>
      </c>
      <c r="E183">
        <v>7718154</v>
      </c>
      <c r="F183" t="s">
        <v>18</v>
      </c>
      <c r="G183">
        <v>0</v>
      </c>
      <c r="H183">
        <v>21</v>
      </c>
      <c r="I183">
        <v>1</v>
      </c>
      <c r="J183">
        <v>6.1749999999999998</v>
      </c>
      <c r="K183">
        <v>0.34008097165991902</v>
      </c>
      <c r="L183">
        <v>0.294047619047619</v>
      </c>
      <c r="M183">
        <v>0</v>
      </c>
      <c r="N183" t="s">
        <v>19</v>
      </c>
      <c r="O183" t="s">
        <v>20</v>
      </c>
      <c r="P183">
        <v>200</v>
      </c>
    </row>
    <row r="184" spans="1:16" x14ac:dyDescent="0.2">
      <c r="A184" t="s">
        <v>400</v>
      </c>
      <c r="B184" t="str" cm="1">
        <f t="array" ref="B184">INDEX(_xlfn.TEXTSPLIT(A184," - "),2)</f>
        <v>Category: Lesbians</v>
      </c>
      <c r="C184" t="s">
        <v>23</v>
      </c>
      <c r="D184" t="s">
        <v>24</v>
      </c>
      <c r="E184">
        <v>7718046</v>
      </c>
      <c r="F184" t="s">
        <v>18</v>
      </c>
      <c r="G184">
        <v>0</v>
      </c>
      <c r="H184">
        <v>426</v>
      </c>
      <c r="I184">
        <v>1</v>
      </c>
      <c r="J184">
        <v>130.685</v>
      </c>
      <c r="K184">
        <v>0.32597467192103102</v>
      </c>
      <c r="L184">
        <v>0.30677230046948301</v>
      </c>
      <c r="M184">
        <v>0</v>
      </c>
      <c r="N184" t="s">
        <v>19</v>
      </c>
      <c r="O184" t="s">
        <v>20</v>
      </c>
      <c r="P184">
        <v>200</v>
      </c>
    </row>
    <row r="185" spans="1:16" x14ac:dyDescent="0.2">
      <c r="A185" t="s">
        <v>406</v>
      </c>
      <c r="B185" t="str" cm="1">
        <f t="array" ref="B185">INDEX(_xlfn.TEXTSPLIT(A185," - "),2)</f>
        <v>Category: Cartoons/Hentai</v>
      </c>
      <c r="C185" t="s">
        <v>42</v>
      </c>
      <c r="D185" t="s">
        <v>17</v>
      </c>
      <c r="E185">
        <v>7717910</v>
      </c>
      <c r="F185" t="s">
        <v>18</v>
      </c>
      <c r="G185">
        <v>0</v>
      </c>
      <c r="H185">
        <v>1</v>
      </c>
      <c r="I185">
        <v>4.25588372093023E-2</v>
      </c>
      <c r="J185">
        <v>3.6600600000000001E-3</v>
      </c>
      <c r="K185">
        <v>1.16279069767441</v>
      </c>
      <c r="L185">
        <v>3.6600600000000001E-3</v>
      </c>
      <c r="M185">
        <v>0</v>
      </c>
      <c r="N185" t="s">
        <v>19</v>
      </c>
      <c r="O185" t="s">
        <v>20</v>
      </c>
      <c r="P185">
        <v>200</v>
      </c>
    </row>
    <row r="186" spans="1:16" x14ac:dyDescent="0.2">
      <c r="A186" t="s">
        <v>407</v>
      </c>
      <c r="B186" t="str" cm="1">
        <f t="array" ref="B186">INDEX(_xlfn.TEXTSPLIT(A186," - "),2)</f>
        <v>Category: Cartoons/Hentai</v>
      </c>
      <c r="C186" t="s">
        <v>42</v>
      </c>
      <c r="D186" t="s">
        <v>17</v>
      </c>
      <c r="E186">
        <v>7717908</v>
      </c>
      <c r="F186" t="s">
        <v>18</v>
      </c>
      <c r="G186">
        <v>0</v>
      </c>
      <c r="H186">
        <v>0</v>
      </c>
      <c r="I186">
        <v>9.2032000000000003E-2</v>
      </c>
      <c r="J186">
        <v>5.9820799999999999E-3</v>
      </c>
      <c r="K186">
        <v>0</v>
      </c>
      <c r="L186">
        <v>0</v>
      </c>
      <c r="M186">
        <v>0</v>
      </c>
      <c r="N186" t="s">
        <v>19</v>
      </c>
      <c r="O186" t="s">
        <v>20</v>
      </c>
      <c r="P186">
        <v>200</v>
      </c>
    </row>
    <row r="187" spans="1:16" x14ac:dyDescent="0.2">
      <c r="A187" t="s">
        <v>408</v>
      </c>
      <c r="B187" t="str" cm="1">
        <f t="array" ref="B187">INDEX(_xlfn.TEXTSPLIT(A187," - "),2)</f>
        <v>Category: Cartoons/Hentai</v>
      </c>
      <c r="C187" t="s">
        <v>42</v>
      </c>
      <c r="D187" t="s">
        <v>17</v>
      </c>
      <c r="E187">
        <v>7717906</v>
      </c>
      <c r="F187" t="s">
        <v>18</v>
      </c>
      <c r="G187">
        <v>0</v>
      </c>
      <c r="H187">
        <v>0</v>
      </c>
      <c r="I187">
        <v>0.390563285714285</v>
      </c>
      <c r="J187">
        <v>2.7339430000000001E-2</v>
      </c>
      <c r="K187">
        <v>0</v>
      </c>
      <c r="L187">
        <v>0</v>
      </c>
      <c r="M187">
        <v>0</v>
      </c>
      <c r="N187" t="s">
        <v>19</v>
      </c>
      <c r="O187" t="s">
        <v>20</v>
      </c>
      <c r="P187">
        <v>200</v>
      </c>
    </row>
    <row r="188" spans="1:16" x14ac:dyDescent="0.2">
      <c r="A188" t="s">
        <v>409</v>
      </c>
      <c r="B188" t="str" cm="1">
        <f t="array" ref="B188">INDEX(_xlfn.TEXTSPLIT(A188," - "),2)</f>
        <v>Category: Cartoons/Hentai</v>
      </c>
      <c r="C188" t="s">
        <v>42</v>
      </c>
      <c r="D188" t="s">
        <v>17</v>
      </c>
      <c r="E188">
        <v>7717904</v>
      </c>
      <c r="F188" t="s">
        <v>18</v>
      </c>
      <c r="G188">
        <v>0</v>
      </c>
      <c r="H188">
        <v>29</v>
      </c>
      <c r="I188">
        <v>1.00867516154452</v>
      </c>
      <c r="J188">
        <v>3.8400263400000001</v>
      </c>
      <c r="K188">
        <v>0.76175466246388202</v>
      </c>
      <c r="L188">
        <v>0.13241470137931</v>
      </c>
      <c r="M188">
        <v>0</v>
      </c>
      <c r="N188" t="s">
        <v>19</v>
      </c>
      <c r="O188" t="s">
        <v>20</v>
      </c>
      <c r="P188">
        <v>200</v>
      </c>
    </row>
    <row r="189" spans="1:16" x14ac:dyDescent="0.2">
      <c r="A189" t="s">
        <v>410</v>
      </c>
      <c r="B189" t="str" cm="1">
        <f t="array" ref="B189">INDEX(_xlfn.TEXTSPLIT(A189," - "),2)</f>
        <v>Category: Cartoons/Hentai</v>
      </c>
      <c r="C189" t="s">
        <v>42</v>
      </c>
      <c r="D189" t="s">
        <v>17</v>
      </c>
      <c r="E189">
        <v>7717902</v>
      </c>
      <c r="F189" t="s">
        <v>18</v>
      </c>
      <c r="G189">
        <v>0</v>
      </c>
      <c r="H189">
        <v>2</v>
      </c>
      <c r="I189">
        <v>1.3160494285714199</v>
      </c>
      <c r="J189">
        <v>9.2123460000000004E-2</v>
      </c>
      <c r="K189">
        <v>2.8571428571428501</v>
      </c>
      <c r="L189">
        <v>4.6061730000000002E-2</v>
      </c>
      <c r="M189">
        <v>0</v>
      </c>
      <c r="N189" t="s">
        <v>19</v>
      </c>
      <c r="O189" t="s">
        <v>20</v>
      </c>
      <c r="P189">
        <v>200</v>
      </c>
    </row>
    <row r="190" spans="1:16" x14ac:dyDescent="0.2">
      <c r="A190" t="s">
        <v>411</v>
      </c>
      <c r="B190" t="str" cm="1">
        <f t="array" ref="B190">INDEX(_xlfn.TEXTSPLIT(A190," - "),2)</f>
        <v>Category: Cartoons/Hentai</v>
      </c>
      <c r="C190" t="s">
        <v>42</v>
      </c>
      <c r="D190" t="s">
        <v>17</v>
      </c>
      <c r="E190">
        <v>7717900</v>
      </c>
      <c r="F190" t="s">
        <v>18</v>
      </c>
      <c r="G190">
        <v>0</v>
      </c>
      <c r="H190">
        <v>2</v>
      </c>
      <c r="I190">
        <v>1.01626582278481</v>
      </c>
      <c r="J190">
        <v>8.0284999999999995E-2</v>
      </c>
      <c r="K190">
        <v>2.5316455696202498</v>
      </c>
      <c r="L190">
        <v>4.0142499999999998E-2</v>
      </c>
      <c r="M190">
        <v>0</v>
      </c>
      <c r="N190" t="s">
        <v>19</v>
      </c>
      <c r="O190" t="s">
        <v>20</v>
      </c>
      <c r="P190">
        <v>200</v>
      </c>
    </row>
    <row r="191" spans="1:16" x14ac:dyDescent="0.2">
      <c r="A191" t="s">
        <v>412</v>
      </c>
      <c r="B191" t="str" cm="1">
        <f t="array" ref="B191">INDEX(_xlfn.TEXTSPLIT(A191," - "),2)</f>
        <v>Category: Cartoons/Hentai</v>
      </c>
      <c r="C191" t="s">
        <v>42</v>
      </c>
      <c r="D191" t="s">
        <v>17</v>
      </c>
      <c r="E191">
        <v>7717898</v>
      </c>
      <c r="F191" t="s">
        <v>18</v>
      </c>
      <c r="G191">
        <v>0</v>
      </c>
      <c r="H191">
        <v>1</v>
      </c>
      <c r="I191">
        <v>1.30439975308641</v>
      </c>
      <c r="J191">
        <v>0.10565637999999999</v>
      </c>
      <c r="K191">
        <v>1.2345679012345601</v>
      </c>
      <c r="L191">
        <v>0.10565637999999999</v>
      </c>
      <c r="M191">
        <v>0</v>
      </c>
      <c r="N191" t="s">
        <v>19</v>
      </c>
      <c r="O191" t="s">
        <v>20</v>
      </c>
      <c r="P191">
        <v>200</v>
      </c>
    </row>
    <row r="192" spans="1:16" x14ac:dyDescent="0.2">
      <c r="A192" t="s">
        <v>413</v>
      </c>
      <c r="B192" t="str" cm="1">
        <f t="array" ref="B192">INDEX(_xlfn.TEXTSPLIT(A192," - "),2)</f>
        <v>Category: Cartoons/Hentai</v>
      </c>
      <c r="C192" t="s">
        <v>42</v>
      </c>
      <c r="D192" t="s">
        <v>17</v>
      </c>
      <c r="E192">
        <v>7717896</v>
      </c>
      <c r="F192" t="s">
        <v>18</v>
      </c>
      <c r="G192">
        <v>0</v>
      </c>
      <c r="H192">
        <v>635</v>
      </c>
      <c r="I192">
        <v>1.2805470427463299</v>
      </c>
      <c r="J192">
        <v>91.128849750000001</v>
      </c>
      <c r="K192">
        <v>0.89230509808330005</v>
      </c>
      <c r="L192">
        <v>0.14350999960629901</v>
      </c>
      <c r="M192">
        <v>0</v>
      </c>
      <c r="N192" t="s">
        <v>19</v>
      </c>
      <c r="O192" t="s">
        <v>20</v>
      </c>
      <c r="P192">
        <v>200</v>
      </c>
    </row>
    <row r="193" spans="1:16" x14ac:dyDescent="0.2">
      <c r="A193" t="s">
        <v>414</v>
      </c>
      <c r="B193" t="str" cm="1">
        <f t="array" ref="B193">INDEX(_xlfn.TEXTSPLIT(A193," - "),2)</f>
        <v>Category: Cartoons/Hentai</v>
      </c>
      <c r="C193" t="s">
        <v>42</v>
      </c>
      <c r="D193" t="s">
        <v>17</v>
      </c>
      <c r="E193">
        <v>7717894</v>
      </c>
      <c r="F193" t="s">
        <v>18</v>
      </c>
      <c r="G193">
        <v>0</v>
      </c>
      <c r="H193">
        <v>3234</v>
      </c>
      <c r="I193">
        <v>5.5006358066929599E-2</v>
      </c>
      <c r="J193">
        <v>29.26129225</v>
      </c>
      <c r="K193">
        <v>0.60793816099646203</v>
      </c>
      <c r="L193">
        <v>9.0480186301793407E-3</v>
      </c>
      <c r="M193">
        <v>0</v>
      </c>
      <c r="N193" t="s">
        <v>19</v>
      </c>
      <c r="O193" t="s">
        <v>20</v>
      </c>
      <c r="P193">
        <v>200</v>
      </c>
    </row>
    <row r="194" spans="1:16" x14ac:dyDescent="0.2">
      <c r="A194" t="s">
        <v>416</v>
      </c>
      <c r="B194" t="str" cm="1">
        <f t="array" ref="B194">INDEX(_xlfn.TEXTSPLIT(A194," - "),2)</f>
        <v>Category: Cartoons/Hentai</v>
      </c>
      <c r="C194" t="s">
        <v>42</v>
      </c>
      <c r="D194" t="s">
        <v>17</v>
      </c>
      <c r="E194">
        <v>7717890</v>
      </c>
      <c r="F194" t="s">
        <v>18</v>
      </c>
      <c r="G194">
        <v>0</v>
      </c>
      <c r="H194">
        <v>1029</v>
      </c>
      <c r="I194">
        <v>0.44199417358314702</v>
      </c>
      <c r="J194">
        <v>98.679177199999998</v>
      </c>
      <c r="K194">
        <v>0.46089967257758901</v>
      </c>
      <c r="L194">
        <v>9.5898131389698701E-2</v>
      </c>
      <c r="M194">
        <v>0</v>
      </c>
      <c r="N194" t="s">
        <v>19</v>
      </c>
      <c r="O194" t="s">
        <v>20</v>
      </c>
      <c r="P194">
        <v>200</v>
      </c>
    </row>
    <row r="195" spans="1:16" x14ac:dyDescent="0.2">
      <c r="A195" t="s">
        <v>420</v>
      </c>
      <c r="B195" t="str" cm="1">
        <f t="array" ref="B195">INDEX(_xlfn.TEXTSPLIT(A195," - "),2)</f>
        <v>Category: Cartoons/Hentai</v>
      </c>
      <c r="C195" t="s">
        <v>42</v>
      </c>
      <c r="D195" t="s">
        <v>17</v>
      </c>
      <c r="E195">
        <v>7717878</v>
      </c>
      <c r="F195" t="s">
        <v>18</v>
      </c>
      <c r="G195">
        <v>0</v>
      </c>
      <c r="H195">
        <v>3</v>
      </c>
      <c r="I195">
        <v>1.315482</v>
      </c>
      <c r="J195">
        <v>1.0852726500000001</v>
      </c>
      <c r="K195">
        <v>0.36363636363636298</v>
      </c>
      <c r="L195">
        <v>0.36175754999999998</v>
      </c>
      <c r="M195">
        <v>0</v>
      </c>
      <c r="N195" t="s">
        <v>19</v>
      </c>
      <c r="O195" t="s">
        <v>20</v>
      </c>
      <c r="P195">
        <v>200</v>
      </c>
    </row>
    <row r="196" spans="1:16" x14ac:dyDescent="0.2">
      <c r="A196" t="s">
        <v>422</v>
      </c>
      <c r="B196" t="str" cm="1">
        <f t="array" ref="B196">INDEX(_xlfn.TEXTSPLIT(A196," - "),2)</f>
        <v>Category: Cartoons/Hentai</v>
      </c>
      <c r="C196" t="s">
        <v>23</v>
      </c>
      <c r="D196" t="s">
        <v>24</v>
      </c>
      <c r="E196">
        <v>7717866</v>
      </c>
      <c r="F196" t="s">
        <v>18</v>
      </c>
      <c r="G196">
        <v>0</v>
      </c>
      <c r="H196">
        <v>0</v>
      </c>
      <c r="I196">
        <v>2</v>
      </c>
      <c r="J196">
        <v>2E-3</v>
      </c>
      <c r="K196">
        <v>0</v>
      </c>
      <c r="L196">
        <v>0</v>
      </c>
      <c r="M196">
        <v>0</v>
      </c>
      <c r="N196" t="s">
        <v>19</v>
      </c>
      <c r="O196" t="s">
        <v>20</v>
      </c>
      <c r="P196">
        <v>200</v>
      </c>
    </row>
    <row r="197" spans="1:16" x14ac:dyDescent="0.2">
      <c r="A197" t="s">
        <v>423</v>
      </c>
      <c r="B197" t="str" cm="1">
        <f t="array" ref="B197">INDEX(_xlfn.TEXTSPLIT(A197," - "),2)</f>
        <v>Category: Cartoons/Hentai</v>
      </c>
      <c r="C197" t="s">
        <v>42</v>
      </c>
      <c r="D197" t="s">
        <v>17</v>
      </c>
      <c r="E197">
        <v>7717858</v>
      </c>
      <c r="F197" t="s">
        <v>18</v>
      </c>
      <c r="G197">
        <v>0</v>
      </c>
      <c r="H197">
        <v>0</v>
      </c>
      <c r="I197">
        <v>1.8625282608695599</v>
      </c>
      <c r="J197">
        <v>4.2838149999999998E-2</v>
      </c>
      <c r="K197">
        <v>0</v>
      </c>
      <c r="L197">
        <v>0</v>
      </c>
      <c r="M197">
        <v>0</v>
      </c>
      <c r="N197" t="s">
        <v>19</v>
      </c>
      <c r="O197" t="s">
        <v>20</v>
      </c>
      <c r="P197">
        <v>200</v>
      </c>
    </row>
    <row r="198" spans="1:16" x14ac:dyDescent="0.2">
      <c r="A198" t="s">
        <v>424</v>
      </c>
      <c r="B198" t="str" cm="1">
        <f t="array" ref="B198">INDEX(_xlfn.TEXTSPLIT(A198," - "),2)</f>
        <v>Category: Cartoons/Hentai</v>
      </c>
      <c r="C198" t="s">
        <v>42</v>
      </c>
      <c r="D198" t="s">
        <v>17</v>
      </c>
      <c r="E198">
        <v>7717856</v>
      </c>
      <c r="F198" t="s">
        <v>18</v>
      </c>
      <c r="G198">
        <v>0</v>
      </c>
      <c r="H198">
        <v>0</v>
      </c>
      <c r="I198">
        <v>4.3709076923076899E-2</v>
      </c>
      <c r="J198">
        <v>2.8410900000000001E-3</v>
      </c>
      <c r="K198">
        <v>0</v>
      </c>
      <c r="L198">
        <v>0</v>
      </c>
      <c r="M198">
        <v>0</v>
      </c>
      <c r="N198" t="s">
        <v>19</v>
      </c>
      <c r="O198" t="s">
        <v>20</v>
      </c>
      <c r="P198">
        <v>200</v>
      </c>
    </row>
    <row r="199" spans="1:16" x14ac:dyDescent="0.2">
      <c r="A199" t="s">
        <v>425</v>
      </c>
      <c r="B199" t="str" cm="1">
        <f t="array" ref="B199">INDEX(_xlfn.TEXTSPLIT(A199," - "),2)</f>
        <v>Category: Cartoons/Hentai</v>
      </c>
      <c r="C199" t="s">
        <v>42</v>
      </c>
      <c r="D199" t="s">
        <v>17</v>
      </c>
      <c r="E199">
        <v>7717854</v>
      </c>
      <c r="F199" t="s">
        <v>18</v>
      </c>
      <c r="G199">
        <v>0</v>
      </c>
      <c r="H199">
        <v>59</v>
      </c>
      <c r="I199">
        <v>0.33864866898148099</v>
      </c>
      <c r="J199">
        <v>4.6814792000000001</v>
      </c>
      <c r="K199">
        <v>0.42679398148148101</v>
      </c>
      <c r="L199">
        <v>7.9347105084745698E-2</v>
      </c>
      <c r="M199">
        <v>0</v>
      </c>
      <c r="N199" t="s">
        <v>19</v>
      </c>
      <c r="O199" t="s">
        <v>20</v>
      </c>
      <c r="P199">
        <v>200</v>
      </c>
    </row>
    <row r="200" spans="1:16" x14ac:dyDescent="0.2">
      <c r="A200" t="s">
        <v>426</v>
      </c>
      <c r="B200" t="str" cm="1">
        <f t="array" ref="B200">INDEX(_xlfn.TEXTSPLIT(A200," - "),2)</f>
        <v>Category: Cartoons/Hentai</v>
      </c>
      <c r="C200" t="s">
        <v>42</v>
      </c>
      <c r="D200" t="s">
        <v>17</v>
      </c>
      <c r="E200">
        <v>7717852</v>
      </c>
      <c r="F200" t="s">
        <v>18</v>
      </c>
      <c r="G200">
        <v>0</v>
      </c>
      <c r="H200">
        <v>3</v>
      </c>
      <c r="I200">
        <v>0.72869593749999895</v>
      </c>
      <c r="J200">
        <v>0.349774049999999</v>
      </c>
      <c r="K200">
        <v>0.625</v>
      </c>
      <c r="L200">
        <v>0.116591349999999</v>
      </c>
      <c r="M200">
        <v>0</v>
      </c>
      <c r="N200" t="s">
        <v>19</v>
      </c>
      <c r="O200" t="s">
        <v>20</v>
      </c>
      <c r="P200">
        <v>200</v>
      </c>
    </row>
    <row r="201" spans="1:16" x14ac:dyDescent="0.2">
      <c r="A201" t="s">
        <v>427</v>
      </c>
      <c r="B201" t="str" cm="1">
        <f t="array" ref="B201">INDEX(_xlfn.TEXTSPLIT(A201," - "),2)</f>
        <v>Category: Cartoons/Hentai</v>
      </c>
      <c r="C201" t="s">
        <v>42</v>
      </c>
      <c r="D201" t="s">
        <v>17</v>
      </c>
      <c r="E201">
        <v>7717850</v>
      </c>
      <c r="F201" t="s">
        <v>18</v>
      </c>
      <c r="G201">
        <v>0</v>
      </c>
      <c r="H201">
        <v>0</v>
      </c>
      <c r="I201">
        <v>1.0652906976744101</v>
      </c>
      <c r="J201">
        <v>9.1615000000000002E-2</v>
      </c>
      <c r="K201">
        <v>0</v>
      </c>
      <c r="L201">
        <v>0</v>
      </c>
      <c r="M201">
        <v>0</v>
      </c>
      <c r="N201" t="s">
        <v>19</v>
      </c>
      <c r="O201" t="s">
        <v>20</v>
      </c>
      <c r="P201">
        <v>200</v>
      </c>
    </row>
    <row r="202" spans="1:16" x14ac:dyDescent="0.2">
      <c r="A202" t="s">
        <v>428</v>
      </c>
      <c r="B202" t="str" cm="1">
        <f t="array" ref="B202">INDEX(_xlfn.TEXTSPLIT(A202," - "),2)</f>
        <v>Category: Cartoons/Hentai</v>
      </c>
      <c r="C202" t="s">
        <v>42</v>
      </c>
      <c r="D202" t="s">
        <v>17</v>
      </c>
      <c r="E202">
        <v>7717848</v>
      </c>
      <c r="F202" t="s">
        <v>18</v>
      </c>
      <c r="G202">
        <v>0</v>
      </c>
      <c r="H202">
        <v>0</v>
      </c>
      <c r="I202">
        <v>1.0293648648648599</v>
      </c>
      <c r="J202">
        <v>7.6173000000000005E-2</v>
      </c>
      <c r="K202">
        <v>0</v>
      </c>
      <c r="L202">
        <v>0</v>
      </c>
      <c r="M202">
        <v>0</v>
      </c>
      <c r="N202" t="s">
        <v>19</v>
      </c>
      <c r="O202" t="s">
        <v>20</v>
      </c>
      <c r="P202">
        <v>200</v>
      </c>
    </row>
    <row r="203" spans="1:16" x14ac:dyDescent="0.2">
      <c r="A203" t="s">
        <v>429</v>
      </c>
      <c r="B203" t="str" cm="1">
        <f t="array" ref="B203">INDEX(_xlfn.TEXTSPLIT(A203," - "),2)</f>
        <v>Category: Cartoons/Hentai</v>
      </c>
      <c r="C203" t="s">
        <v>42</v>
      </c>
      <c r="D203" t="s">
        <v>17</v>
      </c>
      <c r="E203">
        <v>7717846</v>
      </c>
      <c r="F203" t="s">
        <v>18</v>
      </c>
      <c r="G203">
        <v>0</v>
      </c>
      <c r="H203">
        <v>0</v>
      </c>
      <c r="I203">
        <v>1.0307191011235901</v>
      </c>
      <c r="J203">
        <v>9.1733999999999996E-2</v>
      </c>
      <c r="K203">
        <v>0</v>
      </c>
      <c r="L203">
        <v>0</v>
      </c>
      <c r="M203">
        <v>0</v>
      </c>
      <c r="N203" t="s">
        <v>19</v>
      </c>
      <c r="O203" t="s">
        <v>20</v>
      </c>
      <c r="P203">
        <v>200</v>
      </c>
    </row>
    <row r="204" spans="1:16" x14ac:dyDescent="0.2">
      <c r="A204" t="s">
        <v>430</v>
      </c>
      <c r="B204" t="str" cm="1">
        <f t="array" ref="B204">INDEX(_xlfn.TEXTSPLIT(A204," - "),2)</f>
        <v>Category: Cartoons/Hentai</v>
      </c>
      <c r="C204" t="s">
        <v>42</v>
      </c>
      <c r="D204" t="s">
        <v>17</v>
      </c>
      <c r="E204">
        <v>7717844</v>
      </c>
      <c r="F204" t="s">
        <v>18</v>
      </c>
      <c r="G204">
        <v>0</v>
      </c>
      <c r="H204">
        <v>1</v>
      </c>
      <c r="I204">
        <v>1.05016518072289</v>
      </c>
      <c r="J204">
        <v>0.17432742000000001</v>
      </c>
      <c r="K204">
        <v>0.60240963855421603</v>
      </c>
      <c r="L204">
        <v>0.17432742000000001</v>
      </c>
      <c r="M204">
        <v>0</v>
      </c>
      <c r="N204" t="s">
        <v>19</v>
      </c>
      <c r="O204" t="s">
        <v>20</v>
      </c>
      <c r="P204">
        <v>200</v>
      </c>
    </row>
    <row r="205" spans="1:16" x14ac:dyDescent="0.2">
      <c r="A205" t="s">
        <v>431</v>
      </c>
      <c r="B205" t="str" cm="1">
        <f t="array" ref="B205">INDEX(_xlfn.TEXTSPLIT(A205," - "),2)</f>
        <v>Category: Cartoons/Hentai</v>
      </c>
      <c r="C205" t="s">
        <v>42</v>
      </c>
      <c r="D205" t="s">
        <v>17</v>
      </c>
      <c r="E205">
        <v>7717840</v>
      </c>
      <c r="F205" t="s">
        <v>18</v>
      </c>
      <c r="G205">
        <v>0</v>
      </c>
      <c r="H205">
        <v>22</v>
      </c>
      <c r="I205">
        <v>1.41455842840512</v>
      </c>
      <c r="J205">
        <v>2.4302113799999998</v>
      </c>
      <c r="K205">
        <v>1.28055878928987</v>
      </c>
      <c r="L205">
        <v>0.110464153636363</v>
      </c>
      <c r="M205">
        <v>0</v>
      </c>
      <c r="N205" t="s">
        <v>19</v>
      </c>
      <c r="O205" t="s">
        <v>20</v>
      </c>
      <c r="P205">
        <v>200</v>
      </c>
    </row>
    <row r="206" spans="1:16" x14ac:dyDescent="0.2">
      <c r="A206" t="s">
        <v>432</v>
      </c>
      <c r="B206" t="str" cm="1">
        <f t="array" ref="B206">INDEX(_xlfn.TEXTSPLIT(A206," - "),2)</f>
        <v>Category: Cartoons/Hentai</v>
      </c>
      <c r="C206" t="s">
        <v>42</v>
      </c>
      <c r="D206" t="s">
        <v>17</v>
      </c>
      <c r="E206">
        <v>7717838</v>
      </c>
      <c r="F206" t="s">
        <v>18</v>
      </c>
      <c r="G206">
        <v>0</v>
      </c>
      <c r="H206">
        <v>2</v>
      </c>
      <c r="I206">
        <v>3.6398600000000003E-2</v>
      </c>
      <c r="J206">
        <v>7.2797199999999999E-3</v>
      </c>
      <c r="K206">
        <v>1</v>
      </c>
      <c r="L206">
        <v>3.63986E-3</v>
      </c>
      <c r="M206">
        <v>0</v>
      </c>
      <c r="N206" t="s">
        <v>19</v>
      </c>
      <c r="O206" t="s">
        <v>20</v>
      </c>
      <c r="P206">
        <v>200</v>
      </c>
    </row>
    <row r="207" spans="1:16" x14ac:dyDescent="0.2">
      <c r="A207" t="s">
        <v>433</v>
      </c>
      <c r="B207" t="str" cm="1">
        <f t="array" ref="B207">INDEX(_xlfn.TEXTSPLIT(A207," - "),2)</f>
        <v>Category: Cartoons/Hentai</v>
      </c>
      <c r="C207" t="s">
        <v>42</v>
      </c>
      <c r="D207" t="s">
        <v>17</v>
      </c>
      <c r="E207">
        <v>7717836</v>
      </c>
      <c r="F207" t="s">
        <v>18</v>
      </c>
      <c r="G207">
        <v>0</v>
      </c>
      <c r="H207">
        <v>7</v>
      </c>
      <c r="I207">
        <v>0.97731914285714205</v>
      </c>
      <c r="J207">
        <v>0.85515424999999901</v>
      </c>
      <c r="K207">
        <v>0.8</v>
      </c>
      <c r="L207">
        <v>0.12216489285714199</v>
      </c>
      <c r="M207">
        <v>0</v>
      </c>
      <c r="N207" t="s">
        <v>19</v>
      </c>
      <c r="O207" t="s">
        <v>20</v>
      </c>
      <c r="P207">
        <v>200</v>
      </c>
    </row>
    <row r="208" spans="1:16" x14ac:dyDescent="0.2">
      <c r="A208" t="s">
        <v>434</v>
      </c>
      <c r="B208" t="str" cm="1">
        <f t="array" ref="B208">INDEX(_xlfn.TEXTSPLIT(A208," - "),2)</f>
        <v>Category: Cartoons/Hentai</v>
      </c>
      <c r="C208" t="s">
        <v>42</v>
      </c>
      <c r="D208" t="s">
        <v>17</v>
      </c>
      <c r="E208">
        <v>7717834</v>
      </c>
      <c r="F208" t="s">
        <v>18</v>
      </c>
      <c r="G208">
        <v>0</v>
      </c>
      <c r="H208">
        <v>111</v>
      </c>
      <c r="I208">
        <v>0.46480862097237002</v>
      </c>
      <c r="J208">
        <v>11.3385414999999</v>
      </c>
      <c r="K208">
        <v>0.45502992539148901</v>
      </c>
      <c r="L208">
        <v>0.102149022522522</v>
      </c>
      <c r="M208">
        <v>0</v>
      </c>
      <c r="N208" t="s">
        <v>19</v>
      </c>
      <c r="O208" t="s">
        <v>20</v>
      </c>
      <c r="P208">
        <v>200</v>
      </c>
    </row>
    <row r="209" spans="1:16" x14ac:dyDescent="0.2">
      <c r="A209" t="s">
        <v>435</v>
      </c>
      <c r="B209" t="str" cm="1">
        <f t="array" ref="B209">INDEX(_xlfn.TEXTSPLIT(A209," - "),2)</f>
        <v>Category: Cartoons/Hentai</v>
      </c>
      <c r="C209" t="s">
        <v>42</v>
      </c>
      <c r="D209" t="s">
        <v>17</v>
      </c>
      <c r="E209">
        <v>7717832</v>
      </c>
      <c r="F209" t="s">
        <v>18</v>
      </c>
      <c r="G209">
        <v>0</v>
      </c>
      <c r="H209">
        <v>0</v>
      </c>
      <c r="I209">
        <v>1.02443457943925</v>
      </c>
      <c r="J209">
        <v>0.21922899999999901</v>
      </c>
      <c r="K209">
        <v>0</v>
      </c>
      <c r="L209">
        <v>0</v>
      </c>
      <c r="M209">
        <v>0</v>
      </c>
      <c r="N209" t="s">
        <v>19</v>
      </c>
      <c r="O209" t="s">
        <v>20</v>
      </c>
      <c r="P209">
        <v>200</v>
      </c>
    </row>
    <row r="210" spans="1:16" x14ac:dyDescent="0.2">
      <c r="A210" t="s">
        <v>436</v>
      </c>
      <c r="B210" t="str" cm="1">
        <f t="array" ref="B210">INDEX(_xlfn.TEXTSPLIT(A210," - "),2)</f>
        <v>Category: Cartoons/Hentai</v>
      </c>
      <c r="C210" t="s">
        <v>42</v>
      </c>
      <c r="D210" t="s">
        <v>17</v>
      </c>
      <c r="E210">
        <v>7717830</v>
      </c>
      <c r="F210" t="s">
        <v>18</v>
      </c>
      <c r="G210">
        <v>0</v>
      </c>
      <c r="H210">
        <v>0</v>
      </c>
      <c r="I210">
        <v>1.0331949152542299</v>
      </c>
      <c r="J210">
        <v>0.121917</v>
      </c>
      <c r="K210">
        <v>0</v>
      </c>
      <c r="L210">
        <v>0</v>
      </c>
      <c r="M210">
        <v>0</v>
      </c>
      <c r="N210" t="s">
        <v>19</v>
      </c>
      <c r="O210" t="s">
        <v>20</v>
      </c>
      <c r="P210">
        <v>200</v>
      </c>
    </row>
    <row r="211" spans="1:16" x14ac:dyDescent="0.2">
      <c r="A211" t="s">
        <v>437</v>
      </c>
      <c r="B211" t="str" cm="1">
        <f t="array" ref="B211">INDEX(_xlfn.TEXTSPLIT(A211," - "),2)</f>
        <v>Category: Cartoons/Hentai</v>
      </c>
      <c r="C211" t="s">
        <v>42</v>
      </c>
      <c r="D211" t="s">
        <v>17</v>
      </c>
      <c r="E211">
        <v>7717828</v>
      </c>
      <c r="F211" t="s">
        <v>18</v>
      </c>
      <c r="G211">
        <v>0</v>
      </c>
      <c r="H211">
        <v>1</v>
      </c>
      <c r="I211">
        <v>1.0233514450867001</v>
      </c>
      <c r="J211">
        <v>0.1770398</v>
      </c>
      <c r="K211">
        <v>0.57803468208092401</v>
      </c>
      <c r="L211">
        <v>0.1770398</v>
      </c>
      <c r="M211">
        <v>0</v>
      </c>
      <c r="N211" t="s">
        <v>19</v>
      </c>
      <c r="O211" t="s">
        <v>20</v>
      </c>
      <c r="P211">
        <v>200</v>
      </c>
    </row>
    <row r="212" spans="1:16" x14ac:dyDescent="0.2">
      <c r="A212" t="s">
        <v>438</v>
      </c>
      <c r="B212" t="str" cm="1">
        <f t="array" ref="B212">INDEX(_xlfn.TEXTSPLIT(A212," - "),2)</f>
        <v>Category: Cartoons/Hentai</v>
      </c>
      <c r="C212" t="s">
        <v>42</v>
      </c>
      <c r="D212" t="s">
        <v>17</v>
      </c>
      <c r="E212">
        <v>7717824</v>
      </c>
      <c r="F212" t="s">
        <v>18</v>
      </c>
      <c r="G212">
        <v>0</v>
      </c>
      <c r="H212">
        <v>0</v>
      </c>
      <c r="I212">
        <v>1.2373169581749</v>
      </c>
      <c r="J212">
        <v>0.65082871999999903</v>
      </c>
      <c r="K212">
        <v>0</v>
      </c>
      <c r="L212">
        <v>0</v>
      </c>
      <c r="M212">
        <v>0</v>
      </c>
      <c r="N212" t="s">
        <v>19</v>
      </c>
      <c r="O212" t="s">
        <v>20</v>
      </c>
      <c r="P212">
        <v>200</v>
      </c>
    </row>
    <row r="213" spans="1:16" x14ac:dyDescent="0.2">
      <c r="A213" t="s">
        <v>440</v>
      </c>
      <c r="B213" t="str" cm="1">
        <f t="array" ref="B213">INDEX(_xlfn.TEXTSPLIT(A213," - "),2)</f>
        <v>Category: Cartoons/Hentai</v>
      </c>
      <c r="C213" t="s">
        <v>42</v>
      </c>
      <c r="D213" t="s">
        <v>17</v>
      </c>
      <c r="E213">
        <v>7717820</v>
      </c>
      <c r="F213" t="s">
        <v>18</v>
      </c>
      <c r="G213">
        <v>0</v>
      </c>
      <c r="H213">
        <v>254</v>
      </c>
      <c r="I213">
        <v>0.515212752673612</v>
      </c>
      <c r="J213">
        <v>44.899760969999903</v>
      </c>
      <c r="K213">
        <v>0.29145820902372899</v>
      </c>
      <c r="L213">
        <v>0.17677071248031401</v>
      </c>
      <c r="M213">
        <v>0</v>
      </c>
      <c r="N213" t="s">
        <v>19</v>
      </c>
      <c r="O213" t="s">
        <v>20</v>
      </c>
      <c r="P213">
        <v>200</v>
      </c>
    </row>
    <row r="214" spans="1:16" x14ac:dyDescent="0.2">
      <c r="A214" t="s">
        <v>441</v>
      </c>
      <c r="B214" t="str" cm="1">
        <f t="array" ref="B214">INDEX(_xlfn.TEXTSPLIT(A214," - "),2)</f>
        <v>Category: Cartoons/Hentai</v>
      </c>
      <c r="C214" t="s">
        <v>42</v>
      </c>
      <c r="D214" t="s">
        <v>17</v>
      </c>
      <c r="E214">
        <v>7717818</v>
      </c>
      <c r="F214" t="s">
        <v>18</v>
      </c>
      <c r="G214">
        <v>0</v>
      </c>
      <c r="H214">
        <v>2</v>
      </c>
      <c r="I214">
        <v>0.98639220916568704</v>
      </c>
      <c r="J214">
        <v>0.83941976999999901</v>
      </c>
      <c r="K214">
        <v>0.23501762632197401</v>
      </c>
      <c r="L214">
        <v>0.41970988499999901</v>
      </c>
      <c r="M214">
        <v>0</v>
      </c>
      <c r="N214" t="s">
        <v>19</v>
      </c>
      <c r="O214" t="s">
        <v>20</v>
      </c>
      <c r="P214">
        <v>200</v>
      </c>
    </row>
    <row r="215" spans="1:16" x14ac:dyDescent="0.2">
      <c r="A215" t="s">
        <v>444</v>
      </c>
      <c r="B215" t="str" cm="1">
        <f t="array" ref="B215">INDEX(_xlfn.TEXTSPLIT(A215," - "),2)</f>
        <v>Category: Cartoons/Hentai</v>
      </c>
      <c r="C215" t="s">
        <v>42</v>
      </c>
      <c r="D215" t="s">
        <v>17</v>
      </c>
      <c r="E215">
        <v>7717812</v>
      </c>
      <c r="F215" t="s">
        <v>18</v>
      </c>
      <c r="G215">
        <v>0</v>
      </c>
      <c r="H215">
        <v>1</v>
      </c>
      <c r="I215">
        <v>1.5876130344827499</v>
      </c>
      <c r="J215">
        <v>0.46040777999999999</v>
      </c>
      <c r="K215">
        <v>0.34482758620689602</v>
      </c>
      <c r="L215">
        <v>0.46040777999999999</v>
      </c>
      <c r="M215">
        <v>0</v>
      </c>
      <c r="N215" t="s">
        <v>19</v>
      </c>
      <c r="O215" t="s">
        <v>20</v>
      </c>
      <c r="P215">
        <v>200</v>
      </c>
    </row>
    <row r="216" spans="1:16" x14ac:dyDescent="0.2">
      <c r="A216" t="s">
        <v>445</v>
      </c>
      <c r="B216" t="str" cm="1">
        <f t="array" ref="B216">INDEX(_xlfn.TEXTSPLIT(A216," - "),2)</f>
        <v>Category: Cartoons/Hentai</v>
      </c>
      <c r="C216" t="s">
        <v>42</v>
      </c>
      <c r="D216" t="s">
        <v>17</v>
      </c>
      <c r="E216">
        <v>7717810</v>
      </c>
      <c r="F216" t="s">
        <v>18</v>
      </c>
      <c r="G216">
        <v>0</v>
      </c>
      <c r="H216">
        <v>2</v>
      </c>
      <c r="I216">
        <v>1.0988775851063799</v>
      </c>
      <c r="J216">
        <v>1.03294493</v>
      </c>
      <c r="K216">
        <v>0.21276595744680801</v>
      </c>
      <c r="L216">
        <v>0.51647246499999999</v>
      </c>
      <c r="M216">
        <v>0</v>
      </c>
      <c r="N216" t="s">
        <v>19</v>
      </c>
      <c r="O216" t="s">
        <v>20</v>
      </c>
      <c r="P216">
        <v>200</v>
      </c>
    </row>
    <row r="217" spans="1:16" x14ac:dyDescent="0.2">
      <c r="A217" t="s">
        <v>446</v>
      </c>
      <c r="B217" t="str" cm="1">
        <f t="array" ref="B217">INDEX(_xlfn.TEXTSPLIT(A217," - "),2)</f>
        <v>Category: Cartoons/Hentai</v>
      </c>
      <c r="C217" t="s">
        <v>42</v>
      </c>
      <c r="D217" t="s">
        <v>17</v>
      </c>
      <c r="E217">
        <v>7717808</v>
      </c>
      <c r="F217" t="s">
        <v>18</v>
      </c>
      <c r="G217">
        <v>0</v>
      </c>
      <c r="H217">
        <v>2</v>
      </c>
      <c r="I217">
        <v>1.29530540620384</v>
      </c>
      <c r="J217">
        <v>0.87692175999999999</v>
      </c>
      <c r="K217">
        <v>0.29542097488921698</v>
      </c>
      <c r="L217">
        <v>0.43846088</v>
      </c>
      <c r="M217">
        <v>0</v>
      </c>
      <c r="N217" t="s">
        <v>19</v>
      </c>
      <c r="O217" t="s">
        <v>20</v>
      </c>
      <c r="P217">
        <v>200</v>
      </c>
    </row>
    <row r="218" spans="1:16" x14ac:dyDescent="0.2">
      <c r="A218" t="s">
        <v>447</v>
      </c>
      <c r="B218" t="str" cm="1">
        <f t="array" ref="B218">INDEX(_xlfn.TEXTSPLIT(A218," - "),2)</f>
        <v>General</v>
      </c>
      <c r="C218" t="s">
        <v>448</v>
      </c>
      <c r="D218" t="s">
        <v>24</v>
      </c>
      <c r="E218">
        <v>7716844</v>
      </c>
      <c r="F218" t="s">
        <v>18</v>
      </c>
      <c r="G218">
        <v>0</v>
      </c>
      <c r="H218">
        <v>0</v>
      </c>
      <c r="I218">
        <v>0</v>
      </c>
      <c r="J218">
        <v>0</v>
      </c>
      <c r="K218">
        <v>0</v>
      </c>
      <c r="L218">
        <v>0</v>
      </c>
      <c r="M218">
        <v>0</v>
      </c>
      <c r="N218" t="s">
        <v>25</v>
      </c>
      <c r="O218" t="s">
        <v>20</v>
      </c>
      <c r="P218">
        <v>50</v>
      </c>
    </row>
    <row r="219" spans="1:16" x14ac:dyDescent="0.2">
      <c r="A219" t="s">
        <v>34</v>
      </c>
      <c r="B219" t="str" cm="1">
        <f t="array" ref="B219">INDEX(_xlfn.TEXTSPLIT(A219," - "),2)</f>
        <v>bdsm</v>
      </c>
      <c r="C219" t="s">
        <v>23</v>
      </c>
      <c r="D219" t="s">
        <v>24</v>
      </c>
      <c r="E219">
        <v>7791660</v>
      </c>
      <c r="F219" t="s">
        <v>18</v>
      </c>
      <c r="G219">
        <v>0</v>
      </c>
      <c r="H219">
        <v>416</v>
      </c>
      <c r="I219">
        <v>1</v>
      </c>
      <c r="J219">
        <v>126.902999999999</v>
      </c>
      <c r="K219">
        <v>0.327809429249111</v>
      </c>
      <c r="L219">
        <v>0.30505528846153801</v>
      </c>
      <c r="M219">
        <v>1</v>
      </c>
      <c r="N219">
        <v>126.902999999999</v>
      </c>
      <c r="O219" t="s">
        <v>20</v>
      </c>
      <c r="P219" t="s">
        <v>21</v>
      </c>
    </row>
    <row r="220" spans="1:16" x14ac:dyDescent="0.2">
      <c r="A220" t="s">
        <v>35</v>
      </c>
      <c r="B220" t="str" cm="1">
        <f t="array" ref="B220">INDEX(_xlfn.TEXTSPLIT(A220," - "),2)</f>
        <v>bdsm</v>
      </c>
      <c r="C220" t="s">
        <v>23</v>
      </c>
      <c r="D220" t="s">
        <v>24</v>
      </c>
      <c r="E220">
        <v>7791648</v>
      </c>
      <c r="F220" t="s">
        <v>18</v>
      </c>
      <c r="G220">
        <v>0</v>
      </c>
      <c r="H220">
        <v>514</v>
      </c>
      <c r="I220">
        <v>1</v>
      </c>
      <c r="J220">
        <v>118.199</v>
      </c>
      <c r="K220">
        <v>0.43485985499031199</v>
      </c>
      <c r="L220">
        <v>0.22995914396887099</v>
      </c>
      <c r="M220">
        <v>1</v>
      </c>
      <c r="N220">
        <v>118.199</v>
      </c>
      <c r="O220" t="s">
        <v>20</v>
      </c>
      <c r="P220" t="s">
        <v>21</v>
      </c>
    </row>
    <row r="221" spans="1:16" x14ac:dyDescent="0.2">
      <c r="A221" t="s">
        <v>38</v>
      </c>
      <c r="B221" t="str" cm="1">
        <f t="array" ref="B221">INDEX(_xlfn.TEXTSPLIT(A221," - "),2)</f>
        <v>Disney</v>
      </c>
      <c r="C221" t="s">
        <v>23</v>
      </c>
      <c r="D221" t="s">
        <v>24</v>
      </c>
      <c r="E221">
        <v>7791498</v>
      </c>
      <c r="F221" t="s">
        <v>18</v>
      </c>
      <c r="G221">
        <v>0</v>
      </c>
      <c r="H221">
        <v>1738</v>
      </c>
      <c r="I221">
        <v>0.54093621206717002</v>
      </c>
      <c r="J221">
        <v>148.6287155</v>
      </c>
      <c r="K221">
        <v>0.63254744105807903</v>
      </c>
      <c r="L221">
        <v>8.5517097525891803E-2</v>
      </c>
      <c r="M221">
        <v>1</v>
      </c>
      <c r="N221">
        <v>148.6287155</v>
      </c>
      <c r="O221" t="s">
        <v>20</v>
      </c>
      <c r="P221" t="s">
        <v>21</v>
      </c>
    </row>
    <row r="222" spans="1:16" x14ac:dyDescent="0.2">
      <c r="A222" t="s">
        <v>39</v>
      </c>
      <c r="B222" t="str" cm="1">
        <f t="array" ref="B222">INDEX(_xlfn.TEXTSPLIT(A222," - "),2)</f>
        <v>Disney</v>
      </c>
      <c r="C222" t="s">
        <v>23</v>
      </c>
      <c r="D222" t="s">
        <v>24</v>
      </c>
      <c r="E222">
        <v>7791490</v>
      </c>
      <c r="F222" t="s">
        <v>18</v>
      </c>
      <c r="G222">
        <v>0</v>
      </c>
      <c r="H222">
        <v>544</v>
      </c>
      <c r="I222">
        <v>0.41676202280444702</v>
      </c>
      <c r="J222">
        <v>98.431688070000007</v>
      </c>
      <c r="K222">
        <v>0.23033084655054101</v>
      </c>
      <c r="L222">
        <v>0.18094060306985199</v>
      </c>
      <c r="M222">
        <v>1</v>
      </c>
      <c r="N222">
        <v>98.431688070000007</v>
      </c>
      <c r="O222" t="s">
        <v>20</v>
      </c>
      <c r="P222" t="s">
        <v>21</v>
      </c>
    </row>
    <row r="223" spans="1:16" x14ac:dyDescent="0.2">
      <c r="A223" t="s">
        <v>45</v>
      </c>
      <c r="B223" t="str" cm="1">
        <f t="array" ref="B223">INDEX(_xlfn.TEXTSPLIT(A223," - "),2)</f>
        <v>squirt</v>
      </c>
      <c r="C223" t="s">
        <v>23</v>
      </c>
      <c r="D223" t="s">
        <v>24</v>
      </c>
      <c r="E223">
        <v>7791438</v>
      </c>
      <c r="F223" t="s">
        <v>18</v>
      </c>
      <c r="G223">
        <v>0</v>
      </c>
      <c r="H223">
        <v>5781</v>
      </c>
      <c r="I223">
        <v>0.78732196523063203</v>
      </c>
      <c r="J223">
        <v>680.41072824999901</v>
      </c>
      <c r="K223">
        <v>0.66893540798579898</v>
      </c>
      <c r="L223">
        <v>0.11769775614080601</v>
      </c>
      <c r="M223">
        <v>1</v>
      </c>
      <c r="N223">
        <v>680.41072824999901</v>
      </c>
      <c r="O223" t="s">
        <v>20</v>
      </c>
      <c r="P223" t="s">
        <v>21</v>
      </c>
    </row>
    <row r="224" spans="1:16" x14ac:dyDescent="0.2">
      <c r="A224" t="s">
        <v>46</v>
      </c>
      <c r="B224" t="str" cm="1">
        <f t="array" ref="B224">INDEX(_xlfn.TEXTSPLIT(A224," - "),2)</f>
        <v>squirt</v>
      </c>
      <c r="C224" t="s">
        <v>23</v>
      </c>
      <c r="D224" t="s">
        <v>24</v>
      </c>
      <c r="E224">
        <v>7791430</v>
      </c>
      <c r="F224" t="s">
        <v>18</v>
      </c>
      <c r="G224">
        <v>0</v>
      </c>
      <c r="H224">
        <v>439</v>
      </c>
      <c r="I224">
        <v>0.73534863261407002</v>
      </c>
      <c r="J224">
        <v>130.86264266000001</v>
      </c>
      <c r="K224">
        <v>0.246684648235558</v>
      </c>
      <c r="L224">
        <v>0.298092580091116</v>
      </c>
      <c r="M224">
        <v>1</v>
      </c>
      <c r="N224">
        <v>130.86264266000001</v>
      </c>
      <c r="O224" t="s">
        <v>20</v>
      </c>
      <c r="P224" t="s">
        <v>21</v>
      </c>
    </row>
    <row r="225" spans="1:16" x14ac:dyDescent="0.2">
      <c r="A225" t="s">
        <v>48</v>
      </c>
      <c r="B225" t="str" cm="1">
        <f t="array" ref="B225">INDEX(_xlfn.TEXTSPLIT(A225," - "),2)</f>
        <v>squirt</v>
      </c>
      <c r="C225" t="s">
        <v>23</v>
      </c>
      <c r="D225" t="s">
        <v>24</v>
      </c>
      <c r="E225">
        <v>7791412</v>
      </c>
      <c r="F225" t="s">
        <v>18</v>
      </c>
      <c r="G225">
        <v>0</v>
      </c>
      <c r="H225">
        <v>603</v>
      </c>
      <c r="I225">
        <v>1</v>
      </c>
      <c r="J225">
        <v>146.53399999999999</v>
      </c>
      <c r="K225">
        <v>0.41150859186263899</v>
      </c>
      <c r="L225">
        <v>0.243008291873963</v>
      </c>
      <c r="M225">
        <v>1</v>
      </c>
      <c r="N225">
        <v>146.53399999999999</v>
      </c>
      <c r="O225" t="s">
        <v>20</v>
      </c>
      <c r="P225" t="s">
        <v>21</v>
      </c>
    </row>
    <row r="226" spans="1:16" x14ac:dyDescent="0.2">
      <c r="A226" t="s">
        <v>51</v>
      </c>
      <c r="B226" t="str" cm="1">
        <f t="array" ref="B226">INDEX(_xlfn.TEXTSPLIT(A226," - "),2)</f>
        <v>hairy</v>
      </c>
      <c r="C226" t="s">
        <v>33</v>
      </c>
      <c r="D226" t="s">
        <v>17</v>
      </c>
      <c r="E226">
        <v>7791310</v>
      </c>
      <c r="F226" t="s">
        <v>18</v>
      </c>
      <c r="G226">
        <v>0</v>
      </c>
      <c r="H226">
        <v>2500</v>
      </c>
      <c r="I226">
        <v>0.47320617840266699</v>
      </c>
      <c r="J226">
        <v>93.93426565</v>
      </c>
      <c r="K226">
        <v>1.2594077760873701</v>
      </c>
      <c r="L226">
        <v>3.7573706259999999E-2</v>
      </c>
      <c r="M226">
        <v>1</v>
      </c>
      <c r="N226">
        <v>93.93426565</v>
      </c>
      <c r="O226" t="s">
        <v>20</v>
      </c>
      <c r="P226" t="s">
        <v>21</v>
      </c>
    </row>
    <row r="227" spans="1:16" x14ac:dyDescent="0.2">
      <c r="A227" t="s">
        <v>54</v>
      </c>
      <c r="B227" t="str" cm="1">
        <f t="array" ref="B227">INDEX(_xlfn.TEXTSPLIT(A227," - "),2)</f>
        <v>hairy</v>
      </c>
      <c r="C227" t="s">
        <v>23</v>
      </c>
      <c r="D227" t="s">
        <v>24</v>
      </c>
      <c r="E227">
        <v>7791300</v>
      </c>
      <c r="F227" t="s">
        <v>18</v>
      </c>
      <c r="G227">
        <v>0</v>
      </c>
      <c r="H227">
        <v>591</v>
      </c>
      <c r="I227">
        <v>0.516572773410368</v>
      </c>
      <c r="J227">
        <v>130.89540819999999</v>
      </c>
      <c r="K227">
        <v>0.233235461261602</v>
      </c>
      <c r="L227">
        <v>0.2214812321489</v>
      </c>
      <c r="M227">
        <v>1</v>
      </c>
      <c r="N227">
        <v>130.89540819999999</v>
      </c>
      <c r="O227" t="s">
        <v>20</v>
      </c>
      <c r="P227" t="s">
        <v>21</v>
      </c>
    </row>
    <row r="228" spans="1:16" x14ac:dyDescent="0.2">
      <c r="A228" t="s">
        <v>55</v>
      </c>
      <c r="B228" t="str" cm="1">
        <f t="array" ref="B228">INDEX(_xlfn.TEXTSPLIT(A228," - "),2)</f>
        <v>hairy</v>
      </c>
      <c r="C228" t="s">
        <v>23</v>
      </c>
      <c r="D228" t="s">
        <v>24</v>
      </c>
      <c r="E228">
        <v>7791282</v>
      </c>
      <c r="F228" t="s">
        <v>18</v>
      </c>
      <c r="G228">
        <v>0</v>
      </c>
      <c r="H228">
        <v>567</v>
      </c>
      <c r="I228">
        <v>1</v>
      </c>
      <c r="J228">
        <v>146.18100000000001</v>
      </c>
      <c r="K228">
        <v>0.38787530527223102</v>
      </c>
      <c r="L228">
        <v>0.257814814814814</v>
      </c>
      <c r="M228">
        <v>1</v>
      </c>
      <c r="N228">
        <v>146.18100000000001</v>
      </c>
      <c r="O228" t="s">
        <v>20</v>
      </c>
      <c r="P228" t="s">
        <v>21</v>
      </c>
    </row>
    <row r="229" spans="1:16" x14ac:dyDescent="0.2">
      <c r="A229" t="s">
        <v>57</v>
      </c>
      <c r="B229" t="str" cm="1">
        <f t="array" ref="B229">INDEX(_xlfn.TEXTSPLIT(A229," - "),2)</f>
        <v>hairy</v>
      </c>
      <c r="C229" t="s">
        <v>23</v>
      </c>
      <c r="D229" t="s">
        <v>24</v>
      </c>
      <c r="E229">
        <v>7791270</v>
      </c>
      <c r="F229" t="s">
        <v>18</v>
      </c>
      <c r="G229">
        <v>0</v>
      </c>
      <c r="H229">
        <v>2155</v>
      </c>
      <c r="I229">
        <v>1</v>
      </c>
      <c r="J229">
        <v>442.70699999999999</v>
      </c>
      <c r="K229">
        <v>0.486777936648844</v>
      </c>
      <c r="L229">
        <v>0.205432482598607</v>
      </c>
      <c r="M229">
        <v>1</v>
      </c>
      <c r="N229">
        <v>442.70699999999999</v>
      </c>
      <c r="O229" t="s">
        <v>20</v>
      </c>
      <c r="P229" t="s">
        <v>21</v>
      </c>
    </row>
    <row r="230" spans="1:16" x14ac:dyDescent="0.2">
      <c r="A230" t="s">
        <v>60</v>
      </c>
      <c r="B230" t="str" cm="1">
        <f t="array" ref="B230">INDEX(_xlfn.TEXTSPLIT(A230," - "),2)</f>
        <v>Category: Asian</v>
      </c>
      <c r="C230" t="s">
        <v>23</v>
      </c>
      <c r="D230" t="s">
        <v>24</v>
      </c>
      <c r="E230">
        <v>7791244</v>
      </c>
      <c r="F230" t="s">
        <v>18</v>
      </c>
      <c r="G230">
        <v>0</v>
      </c>
      <c r="H230">
        <v>3024</v>
      </c>
      <c r="I230">
        <v>0.62239812624649704</v>
      </c>
      <c r="J230">
        <v>311.44926716999998</v>
      </c>
      <c r="K230">
        <v>0.60431413143832302</v>
      </c>
      <c r="L230">
        <v>0.102992482529761</v>
      </c>
      <c r="M230">
        <v>1</v>
      </c>
      <c r="N230">
        <v>311.44926716999998</v>
      </c>
      <c r="O230" t="s">
        <v>20</v>
      </c>
      <c r="P230" t="s">
        <v>21</v>
      </c>
    </row>
    <row r="231" spans="1:16" x14ac:dyDescent="0.2">
      <c r="A231" t="s">
        <v>75</v>
      </c>
      <c r="B231" t="str" cm="1">
        <f t="array" ref="B231">INDEX(_xlfn.TEXTSPLIT(A231," - "),2)</f>
        <v>Category: Japanese</v>
      </c>
      <c r="C231" t="s">
        <v>23</v>
      </c>
      <c r="D231" t="s">
        <v>24</v>
      </c>
      <c r="E231">
        <v>7791138</v>
      </c>
      <c r="F231" t="s">
        <v>18</v>
      </c>
      <c r="G231">
        <v>0</v>
      </c>
      <c r="H231">
        <v>439</v>
      </c>
      <c r="I231">
        <v>0.999999999999999</v>
      </c>
      <c r="J231">
        <v>173.02599999999899</v>
      </c>
      <c r="K231">
        <v>0.25371909424017097</v>
      </c>
      <c r="L231">
        <v>0.39413667425968102</v>
      </c>
      <c r="M231">
        <v>1</v>
      </c>
      <c r="N231">
        <v>173.02599999999899</v>
      </c>
      <c r="O231" t="s">
        <v>20</v>
      </c>
      <c r="P231" t="s">
        <v>21</v>
      </c>
    </row>
    <row r="232" spans="1:16" x14ac:dyDescent="0.2">
      <c r="A232" t="s">
        <v>77</v>
      </c>
      <c r="B232" t="str" cm="1">
        <f t="array" ref="B232">INDEX(_xlfn.TEXTSPLIT(A232," - "),2)</f>
        <v>cuckold</v>
      </c>
      <c r="C232" t="s">
        <v>23</v>
      </c>
      <c r="D232" t="s">
        <v>24</v>
      </c>
      <c r="E232">
        <v>7790996</v>
      </c>
      <c r="F232" t="s">
        <v>18</v>
      </c>
      <c r="G232">
        <v>0</v>
      </c>
      <c r="H232">
        <v>4690</v>
      </c>
      <c r="I232">
        <v>0.49966432241591902</v>
      </c>
      <c r="J232">
        <v>488.264480899999</v>
      </c>
      <c r="K232">
        <v>0.479950060633349</v>
      </c>
      <c r="L232">
        <v>0.10410756522388</v>
      </c>
      <c r="M232">
        <v>1</v>
      </c>
      <c r="N232">
        <v>488.264480899999</v>
      </c>
      <c r="O232" t="s">
        <v>20</v>
      </c>
      <c r="P232" t="s">
        <v>21</v>
      </c>
    </row>
    <row r="233" spans="1:16" x14ac:dyDescent="0.2">
      <c r="A233" t="s">
        <v>78</v>
      </c>
      <c r="B233" t="str" cm="1">
        <f t="array" ref="B233">INDEX(_xlfn.TEXTSPLIT(A233," - "),2)</f>
        <v>cuckold</v>
      </c>
      <c r="C233" t="s">
        <v>23</v>
      </c>
      <c r="D233" t="s">
        <v>24</v>
      </c>
      <c r="E233">
        <v>7790986</v>
      </c>
      <c r="F233" t="s">
        <v>18</v>
      </c>
      <c r="G233">
        <v>0</v>
      </c>
      <c r="H233">
        <v>574</v>
      </c>
      <c r="I233">
        <v>0.55677057959529697</v>
      </c>
      <c r="J233">
        <v>140.51942918999899</v>
      </c>
      <c r="K233">
        <v>0.22743211706018199</v>
      </c>
      <c r="L233">
        <v>0.244807367926829</v>
      </c>
      <c r="M233">
        <v>1</v>
      </c>
      <c r="N233">
        <v>140.51942918999899</v>
      </c>
      <c r="O233" t="s">
        <v>20</v>
      </c>
      <c r="P233" t="s">
        <v>21</v>
      </c>
    </row>
    <row r="234" spans="1:16" x14ac:dyDescent="0.2">
      <c r="A234" t="s">
        <v>79</v>
      </c>
      <c r="B234" t="str" cm="1">
        <f t="array" ref="B234">INDEX(_xlfn.TEXTSPLIT(A234," - "),2)</f>
        <v>cuckold</v>
      </c>
      <c r="C234" t="s">
        <v>23</v>
      </c>
      <c r="D234" t="s">
        <v>24</v>
      </c>
      <c r="E234">
        <v>7790970</v>
      </c>
      <c r="F234" t="s">
        <v>18</v>
      </c>
      <c r="G234">
        <v>0</v>
      </c>
      <c r="H234">
        <v>453</v>
      </c>
      <c r="I234">
        <v>1</v>
      </c>
      <c r="J234">
        <v>136.44399999999999</v>
      </c>
      <c r="K234">
        <v>0.332004338776347</v>
      </c>
      <c r="L234">
        <v>0.30120088300220699</v>
      </c>
      <c r="M234">
        <v>1</v>
      </c>
      <c r="N234">
        <v>136.44399999999999</v>
      </c>
      <c r="O234" t="s">
        <v>20</v>
      </c>
      <c r="P234" t="s">
        <v>21</v>
      </c>
    </row>
    <row r="235" spans="1:16" x14ac:dyDescent="0.2">
      <c r="A235" t="s">
        <v>83</v>
      </c>
      <c r="B235" t="str" cm="1">
        <f t="array" ref="B235">INDEX(_xlfn.TEXTSPLIT(A235," - "),2)</f>
        <v>lingerie</v>
      </c>
      <c r="C235" t="s">
        <v>23</v>
      </c>
      <c r="D235" t="s">
        <v>24</v>
      </c>
      <c r="E235">
        <v>7790932</v>
      </c>
      <c r="F235" t="s">
        <v>18</v>
      </c>
      <c r="G235">
        <v>0</v>
      </c>
      <c r="H235">
        <v>5567</v>
      </c>
      <c r="I235">
        <v>0.51459728648868897</v>
      </c>
      <c r="J235">
        <v>426.80390182999997</v>
      </c>
      <c r="K235">
        <v>0.67121295789455904</v>
      </c>
      <c r="L235">
        <v>7.6666768785701403E-2</v>
      </c>
      <c r="M235">
        <v>1</v>
      </c>
      <c r="N235">
        <v>426.80390182999997</v>
      </c>
      <c r="O235" t="s">
        <v>20</v>
      </c>
      <c r="P235" t="s">
        <v>21</v>
      </c>
    </row>
    <row r="236" spans="1:16" x14ac:dyDescent="0.2">
      <c r="A236" t="s">
        <v>85</v>
      </c>
      <c r="B236" t="str" cm="1">
        <f t="array" ref="B236">INDEX(_xlfn.TEXTSPLIT(A236," - "),2)</f>
        <v>lingerie</v>
      </c>
      <c r="C236" t="s">
        <v>33</v>
      </c>
      <c r="D236" t="s">
        <v>17</v>
      </c>
      <c r="E236">
        <v>7790924</v>
      </c>
      <c r="F236" t="s">
        <v>18</v>
      </c>
      <c r="G236">
        <v>0</v>
      </c>
      <c r="H236">
        <v>976</v>
      </c>
      <c r="I236">
        <v>0.32901211008653902</v>
      </c>
      <c r="J236">
        <v>69.612053239999995</v>
      </c>
      <c r="K236">
        <v>0.46129341758870201</v>
      </c>
      <c r="L236">
        <v>7.1323825040983599E-2</v>
      </c>
      <c r="M236">
        <v>1</v>
      </c>
      <c r="N236">
        <v>69.612053239999995</v>
      </c>
      <c r="O236" t="s">
        <v>20</v>
      </c>
      <c r="P236" t="s">
        <v>21</v>
      </c>
    </row>
    <row r="237" spans="1:16" x14ac:dyDescent="0.2">
      <c r="A237" t="s">
        <v>92</v>
      </c>
      <c r="B237" t="str" cm="1">
        <f t="array" ref="B237">INDEX(_xlfn.TEXTSPLIT(A237," - "),2)</f>
        <v>power</v>
      </c>
      <c r="C237" t="s">
        <v>23</v>
      </c>
      <c r="D237" t="s">
        <v>24</v>
      </c>
      <c r="E237">
        <v>7790824</v>
      </c>
      <c r="F237" t="s">
        <v>18</v>
      </c>
      <c r="G237">
        <v>0</v>
      </c>
      <c r="H237">
        <v>438</v>
      </c>
      <c r="I237">
        <v>1.53727450471617</v>
      </c>
      <c r="J237">
        <v>135.43542113999999</v>
      </c>
      <c r="K237">
        <v>0.49715667245547701</v>
      </c>
      <c r="L237">
        <v>0.30921329027397199</v>
      </c>
      <c r="M237">
        <v>1</v>
      </c>
      <c r="N237">
        <v>135.43542113999999</v>
      </c>
      <c r="O237" t="s">
        <v>20</v>
      </c>
      <c r="P237" t="s">
        <v>21</v>
      </c>
    </row>
    <row r="238" spans="1:16" x14ac:dyDescent="0.2">
      <c r="A238" t="s">
        <v>93</v>
      </c>
      <c r="B238" t="str" cm="1">
        <f t="array" ref="B238">INDEX(_xlfn.TEXTSPLIT(A238," - "),2)</f>
        <v>power</v>
      </c>
      <c r="C238" t="s">
        <v>23</v>
      </c>
      <c r="D238" t="s">
        <v>24</v>
      </c>
      <c r="E238">
        <v>7790816</v>
      </c>
      <c r="F238" t="s">
        <v>18</v>
      </c>
      <c r="G238">
        <v>0</v>
      </c>
      <c r="H238">
        <v>610</v>
      </c>
      <c r="I238">
        <v>1.7081539668749199</v>
      </c>
      <c r="J238">
        <v>382.21311531999999</v>
      </c>
      <c r="K238">
        <v>0.27261595116152199</v>
      </c>
      <c r="L238">
        <v>0.62657887757376995</v>
      </c>
      <c r="M238">
        <v>1</v>
      </c>
      <c r="N238">
        <v>382.21311531999999</v>
      </c>
      <c r="O238" t="s">
        <v>20</v>
      </c>
      <c r="P238" t="s">
        <v>21</v>
      </c>
    </row>
    <row r="239" spans="1:16" x14ac:dyDescent="0.2">
      <c r="A239" t="s">
        <v>94</v>
      </c>
      <c r="B239" t="str" cm="1">
        <f t="array" ref="B239">INDEX(_xlfn.TEXTSPLIT(A239," - "),2)</f>
        <v>Handjob</v>
      </c>
      <c r="C239" t="s">
        <v>23</v>
      </c>
      <c r="D239" t="s">
        <v>24</v>
      </c>
      <c r="E239">
        <v>7790672</v>
      </c>
      <c r="F239" t="s">
        <v>18</v>
      </c>
      <c r="G239">
        <v>0</v>
      </c>
      <c r="H239">
        <v>2135</v>
      </c>
      <c r="I239">
        <v>0.52565170988971899</v>
      </c>
      <c r="J239">
        <v>88.656417390000001</v>
      </c>
      <c r="K239">
        <v>1.2658603106842099</v>
      </c>
      <c r="L239">
        <v>4.1525254046838399E-2</v>
      </c>
      <c r="M239">
        <v>1</v>
      </c>
      <c r="N239">
        <v>88.656417390000001</v>
      </c>
      <c r="O239" t="s">
        <v>20</v>
      </c>
      <c r="P239" t="s">
        <v>21</v>
      </c>
    </row>
    <row r="240" spans="1:16" x14ac:dyDescent="0.2">
      <c r="A240" t="s">
        <v>96</v>
      </c>
      <c r="B240" t="str" cm="1">
        <f t="array" ref="B240">INDEX(_xlfn.TEXTSPLIT(A240," - "),2)</f>
        <v>Handjob</v>
      </c>
      <c r="C240" t="s">
        <v>33</v>
      </c>
      <c r="D240" t="s">
        <v>17</v>
      </c>
      <c r="E240">
        <v>7790666</v>
      </c>
      <c r="F240" t="s">
        <v>18</v>
      </c>
      <c r="G240">
        <v>0</v>
      </c>
      <c r="H240">
        <v>187</v>
      </c>
      <c r="I240">
        <v>0.44716057315233698</v>
      </c>
      <c r="J240">
        <v>15.71277538</v>
      </c>
      <c r="K240">
        <v>0.53217223028543703</v>
      </c>
      <c r="L240">
        <v>8.4025536791443797E-2</v>
      </c>
      <c r="M240">
        <v>1</v>
      </c>
      <c r="N240">
        <v>15.71277538</v>
      </c>
      <c r="O240" t="s">
        <v>20</v>
      </c>
      <c r="P240" t="s">
        <v>21</v>
      </c>
    </row>
    <row r="241" spans="1:16" x14ac:dyDescent="0.2">
      <c r="A241" t="s">
        <v>97</v>
      </c>
      <c r="B241" t="str" cm="1">
        <f t="array" ref="B241">INDEX(_xlfn.TEXTSPLIT(A241," - "),2)</f>
        <v>Handjob</v>
      </c>
      <c r="C241" t="s">
        <v>23</v>
      </c>
      <c r="D241" t="s">
        <v>24</v>
      </c>
      <c r="E241">
        <v>7790664</v>
      </c>
      <c r="F241" t="s">
        <v>18</v>
      </c>
      <c r="G241">
        <v>0</v>
      </c>
      <c r="H241">
        <v>1060</v>
      </c>
      <c r="I241">
        <v>0.42464275435481202</v>
      </c>
      <c r="J241">
        <v>86.809293629999999</v>
      </c>
      <c r="K241">
        <v>0.51851743147987805</v>
      </c>
      <c r="L241">
        <v>8.1895560028301798E-2</v>
      </c>
      <c r="M241">
        <v>1</v>
      </c>
      <c r="N241">
        <v>86.809293629999999</v>
      </c>
      <c r="O241" t="s">
        <v>20</v>
      </c>
      <c r="P241" t="s">
        <v>21</v>
      </c>
    </row>
    <row r="242" spans="1:16" x14ac:dyDescent="0.2">
      <c r="A242" t="s">
        <v>101</v>
      </c>
      <c r="B242" t="str" cm="1">
        <f t="array" ref="B242">INDEX(_xlfn.TEXTSPLIT(A242," - "),2)</f>
        <v>Handjob</v>
      </c>
      <c r="C242" t="s">
        <v>23</v>
      </c>
      <c r="D242" t="s">
        <v>24</v>
      </c>
      <c r="E242">
        <v>7790630</v>
      </c>
      <c r="F242" t="s">
        <v>18</v>
      </c>
      <c r="G242">
        <v>0</v>
      </c>
      <c r="H242">
        <v>1150</v>
      </c>
      <c r="I242">
        <v>0.999999999999999</v>
      </c>
      <c r="J242">
        <v>219.06099999999901</v>
      </c>
      <c r="K242">
        <v>0.52496793130680497</v>
      </c>
      <c r="L242">
        <v>0.190487826086956</v>
      </c>
      <c r="M242">
        <v>1</v>
      </c>
      <c r="N242">
        <v>219.06099999999901</v>
      </c>
      <c r="O242" t="s">
        <v>20</v>
      </c>
      <c r="P242" t="s">
        <v>21</v>
      </c>
    </row>
    <row r="243" spans="1:16" x14ac:dyDescent="0.2">
      <c r="A243" t="s">
        <v>104</v>
      </c>
      <c r="B243" t="str" cm="1">
        <f t="array" ref="B243">INDEX(_xlfn.TEXTSPLIT(A243," - "),2)</f>
        <v>roleplay</v>
      </c>
      <c r="C243" t="s">
        <v>23</v>
      </c>
      <c r="D243" t="s">
        <v>24</v>
      </c>
      <c r="E243">
        <v>7790540</v>
      </c>
      <c r="F243" t="s">
        <v>18</v>
      </c>
      <c r="G243">
        <v>0</v>
      </c>
      <c r="H243">
        <v>4211</v>
      </c>
      <c r="I243">
        <v>0.606689887762623</v>
      </c>
      <c r="J243">
        <v>415.67661005000002</v>
      </c>
      <c r="K243">
        <v>0.61460545424028101</v>
      </c>
      <c r="L243">
        <v>9.8712089776775105E-2</v>
      </c>
      <c r="M243">
        <v>1</v>
      </c>
      <c r="N243">
        <v>415.67661005000002</v>
      </c>
      <c r="O243" t="s">
        <v>20</v>
      </c>
      <c r="P243" t="s">
        <v>21</v>
      </c>
    </row>
    <row r="244" spans="1:16" x14ac:dyDescent="0.2">
      <c r="A244" t="s">
        <v>105</v>
      </c>
      <c r="B244" t="str" cm="1">
        <f t="array" ref="B244">INDEX(_xlfn.TEXTSPLIT(A244," - "),2)</f>
        <v>roleplay</v>
      </c>
      <c r="C244" t="s">
        <v>23</v>
      </c>
      <c r="D244" t="s">
        <v>24</v>
      </c>
      <c r="E244">
        <v>7790530</v>
      </c>
      <c r="F244" t="s">
        <v>18</v>
      </c>
      <c r="G244">
        <v>0</v>
      </c>
      <c r="H244">
        <v>638</v>
      </c>
      <c r="I244">
        <v>0.59308029072916202</v>
      </c>
      <c r="J244">
        <v>136.88233801999999</v>
      </c>
      <c r="K244">
        <v>0.276431007066755</v>
      </c>
      <c r="L244">
        <v>0.214549119153605</v>
      </c>
      <c r="M244">
        <v>1</v>
      </c>
      <c r="N244">
        <v>136.88233801999999</v>
      </c>
      <c r="O244" t="s">
        <v>20</v>
      </c>
      <c r="P244" t="s">
        <v>21</v>
      </c>
    </row>
    <row r="245" spans="1:16" x14ac:dyDescent="0.2">
      <c r="A245" t="s">
        <v>110</v>
      </c>
      <c r="B245" t="str" cm="1">
        <f t="array" ref="B245">INDEX(_xlfn.TEXTSPLIT(A245," - "),2)</f>
        <v>Category: Squirting</v>
      </c>
      <c r="C245" t="s">
        <v>23</v>
      </c>
      <c r="D245" t="s">
        <v>24</v>
      </c>
      <c r="E245">
        <v>7790460</v>
      </c>
      <c r="F245" t="s">
        <v>18</v>
      </c>
      <c r="G245">
        <v>0</v>
      </c>
      <c r="H245">
        <v>1180</v>
      </c>
      <c r="I245">
        <v>0.39968236943051</v>
      </c>
      <c r="J245">
        <v>88.044030750000005</v>
      </c>
      <c r="K245">
        <v>0.53566970061511199</v>
      </c>
      <c r="L245">
        <v>7.4613585381355901E-2</v>
      </c>
      <c r="M245">
        <v>1</v>
      </c>
      <c r="N245">
        <v>88.044030750000005</v>
      </c>
      <c r="O245" t="s">
        <v>20</v>
      </c>
      <c r="P245" t="s">
        <v>21</v>
      </c>
    </row>
    <row r="246" spans="1:16" x14ac:dyDescent="0.2">
      <c r="A246" t="s">
        <v>112</v>
      </c>
      <c r="B246" t="str" cm="1">
        <f t="array" ref="B246">INDEX(_xlfn.TEXTSPLIT(A246," - "),2)</f>
        <v>Category: Squirting</v>
      </c>
      <c r="C246" t="s">
        <v>23</v>
      </c>
      <c r="D246" t="s">
        <v>24</v>
      </c>
      <c r="E246">
        <v>7790436</v>
      </c>
      <c r="F246" t="s">
        <v>18</v>
      </c>
      <c r="G246">
        <v>0</v>
      </c>
      <c r="H246">
        <v>584</v>
      </c>
      <c r="I246">
        <v>1</v>
      </c>
      <c r="J246">
        <v>101.175</v>
      </c>
      <c r="K246">
        <v>0.57721769211761798</v>
      </c>
      <c r="L246">
        <v>0.17324486301369799</v>
      </c>
      <c r="M246">
        <v>1</v>
      </c>
      <c r="N246">
        <v>101.175</v>
      </c>
      <c r="O246" t="s">
        <v>20</v>
      </c>
      <c r="P246" t="s">
        <v>21</v>
      </c>
    </row>
    <row r="247" spans="1:16" x14ac:dyDescent="0.2">
      <c r="A247" t="s">
        <v>115</v>
      </c>
      <c r="B247" t="str" cm="1">
        <f t="array" ref="B247">INDEX(_xlfn.TEXTSPLIT(A247," - "),2)</f>
        <v>Category: Squirting</v>
      </c>
      <c r="C247" t="s">
        <v>23</v>
      </c>
      <c r="D247" t="s">
        <v>24</v>
      </c>
      <c r="E247">
        <v>7790410</v>
      </c>
      <c r="F247" t="s">
        <v>18</v>
      </c>
      <c r="G247">
        <v>0</v>
      </c>
      <c r="H247">
        <v>542</v>
      </c>
      <c r="I247">
        <v>1</v>
      </c>
      <c r="J247">
        <v>218.745</v>
      </c>
      <c r="K247">
        <v>0.247777092047818</v>
      </c>
      <c r="L247">
        <v>0.40358856088560802</v>
      </c>
      <c r="M247">
        <v>1</v>
      </c>
      <c r="N247">
        <v>218.745</v>
      </c>
      <c r="O247" t="s">
        <v>20</v>
      </c>
      <c r="P247" t="s">
        <v>21</v>
      </c>
    </row>
    <row r="248" spans="1:16" x14ac:dyDescent="0.2">
      <c r="A248" t="s">
        <v>121</v>
      </c>
      <c r="B248" t="str" cm="1">
        <f t="array" ref="B248">INDEX(_xlfn.TEXTSPLIT(A248," - "),2)</f>
        <v>milf</v>
      </c>
      <c r="C248" t="s">
        <v>23</v>
      </c>
      <c r="D248" t="s">
        <v>24</v>
      </c>
      <c r="E248">
        <v>7790300</v>
      </c>
      <c r="F248" t="s">
        <v>18</v>
      </c>
      <c r="G248">
        <v>0</v>
      </c>
      <c r="H248">
        <v>1912</v>
      </c>
      <c r="I248">
        <v>0.58208874211006301</v>
      </c>
      <c r="J248">
        <v>389.35333871</v>
      </c>
      <c r="K248">
        <v>0.285846701251326</v>
      </c>
      <c r="L248">
        <v>0.20363668342573199</v>
      </c>
      <c r="M248">
        <v>1</v>
      </c>
      <c r="N248">
        <v>389.35333871</v>
      </c>
      <c r="O248" t="s">
        <v>20</v>
      </c>
      <c r="P248" t="s">
        <v>21</v>
      </c>
    </row>
    <row r="249" spans="1:16" x14ac:dyDescent="0.2">
      <c r="A249" t="s">
        <v>122</v>
      </c>
      <c r="B249" t="str" cm="1">
        <f t="array" ref="B249">INDEX(_xlfn.TEXTSPLIT(A249," - "),2)</f>
        <v>milf</v>
      </c>
      <c r="C249" t="s">
        <v>33</v>
      </c>
      <c r="D249" t="s">
        <v>17</v>
      </c>
      <c r="E249">
        <v>7790296</v>
      </c>
      <c r="F249" t="s">
        <v>18</v>
      </c>
      <c r="G249">
        <v>0</v>
      </c>
      <c r="H249">
        <v>359</v>
      </c>
      <c r="I249">
        <v>1</v>
      </c>
      <c r="J249">
        <v>116.554</v>
      </c>
      <c r="K249">
        <v>0.30801173704892099</v>
      </c>
      <c r="L249">
        <v>0.32466295264623901</v>
      </c>
      <c r="M249">
        <v>1</v>
      </c>
      <c r="N249">
        <v>116.554</v>
      </c>
      <c r="O249" t="s">
        <v>20</v>
      </c>
      <c r="P249" t="s">
        <v>21</v>
      </c>
    </row>
    <row r="250" spans="1:16" x14ac:dyDescent="0.2">
      <c r="A250" t="s">
        <v>123</v>
      </c>
      <c r="B250" t="str" cm="1">
        <f t="array" ref="B250">INDEX(_xlfn.TEXTSPLIT(A250," - "),2)</f>
        <v>milf</v>
      </c>
      <c r="C250" t="s">
        <v>33</v>
      </c>
      <c r="D250" t="s">
        <v>17</v>
      </c>
      <c r="E250">
        <v>7790286</v>
      </c>
      <c r="F250" t="s">
        <v>18</v>
      </c>
      <c r="G250">
        <v>0</v>
      </c>
      <c r="H250">
        <v>86</v>
      </c>
      <c r="I250">
        <v>1</v>
      </c>
      <c r="J250">
        <v>41.338000000000001</v>
      </c>
      <c r="K250">
        <v>0.20804102762591301</v>
      </c>
      <c r="L250">
        <v>0.48067441860465099</v>
      </c>
      <c r="M250">
        <v>1</v>
      </c>
      <c r="N250">
        <v>41.338000000000001</v>
      </c>
      <c r="O250" t="s">
        <v>20</v>
      </c>
      <c r="P250" t="s">
        <v>21</v>
      </c>
    </row>
    <row r="251" spans="1:16" x14ac:dyDescent="0.2">
      <c r="A251" t="s">
        <v>124</v>
      </c>
      <c r="B251" t="str" cm="1">
        <f t="array" ref="B251">INDEX(_xlfn.TEXTSPLIT(A251," - "),2)</f>
        <v>milf</v>
      </c>
      <c r="C251" t="s">
        <v>23</v>
      </c>
      <c r="D251" t="s">
        <v>24</v>
      </c>
      <c r="E251">
        <v>7790282</v>
      </c>
      <c r="F251" t="s">
        <v>18</v>
      </c>
      <c r="G251">
        <v>0</v>
      </c>
      <c r="H251">
        <v>582</v>
      </c>
      <c r="I251">
        <v>1</v>
      </c>
      <c r="J251">
        <v>98.548999999999893</v>
      </c>
      <c r="K251">
        <v>0.59056915848968505</v>
      </c>
      <c r="L251">
        <v>0.169328178694158</v>
      </c>
      <c r="M251">
        <v>1</v>
      </c>
      <c r="N251">
        <v>98.548999999999893</v>
      </c>
      <c r="O251" t="s">
        <v>20</v>
      </c>
      <c r="P251" t="s">
        <v>21</v>
      </c>
    </row>
    <row r="252" spans="1:16" x14ac:dyDescent="0.2">
      <c r="A252" t="s">
        <v>125</v>
      </c>
      <c r="B252" t="str" cm="1">
        <f t="array" ref="B252">INDEX(_xlfn.TEXTSPLIT(A252," - "),2)</f>
        <v>milf</v>
      </c>
      <c r="C252" t="s">
        <v>23</v>
      </c>
      <c r="D252" t="s">
        <v>24</v>
      </c>
      <c r="E252">
        <v>7790276</v>
      </c>
      <c r="F252" t="s">
        <v>18</v>
      </c>
      <c r="G252">
        <v>0</v>
      </c>
      <c r="H252">
        <v>398</v>
      </c>
      <c r="I252">
        <v>1</v>
      </c>
      <c r="J252">
        <v>178.77199999999999</v>
      </c>
      <c r="K252">
        <v>0.22262994204909001</v>
      </c>
      <c r="L252">
        <v>0.449175879396985</v>
      </c>
      <c r="M252">
        <v>1</v>
      </c>
      <c r="N252">
        <v>178.77199999999999</v>
      </c>
      <c r="O252" t="s">
        <v>20</v>
      </c>
      <c r="P252" t="s">
        <v>21</v>
      </c>
    </row>
    <row r="253" spans="1:16" x14ac:dyDescent="0.2">
      <c r="A253" t="s">
        <v>132</v>
      </c>
      <c r="B253" t="str" cm="1">
        <f t="array" ref="B253">INDEX(_xlfn.TEXTSPLIT(A253," - "),2)</f>
        <v>milf</v>
      </c>
      <c r="C253" t="s">
        <v>33</v>
      </c>
      <c r="D253" t="s">
        <v>17</v>
      </c>
      <c r="E253">
        <v>7790258</v>
      </c>
      <c r="F253" t="s">
        <v>18</v>
      </c>
      <c r="G253">
        <v>0</v>
      </c>
      <c r="H253">
        <v>281</v>
      </c>
      <c r="I253">
        <v>0.999999999999999</v>
      </c>
      <c r="J253">
        <v>59.688999999999901</v>
      </c>
      <c r="K253">
        <v>0.47077350935683199</v>
      </c>
      <c r="L253">
        <v>0.21241637010676101</v>
      </c>
      <c r="M253">
        <v>1</v>
      </c>
      <c r="N253">
        <v>59.688999999999901</v>
      </c>
      <c r="O253" t="s">
        <v>20</v>
      </c>
      <c r="P253" t="s">
        <v>21</v>
      </c>
    </row>
    <row r="254" spans="1:16" x14ac:dyDescent="0.2">
      <c r="A254" t="s">
        <v>134</v>
      </c>
      <c r="B254" t="str" cm="1">
        <f t="array" ref="B254">INDEX(_xlfn.TEXTSPLIT(A254," - "),2)</f>
        <v>milf</v>
      </c>
      <c r="C254" t="s">
        <v>33</v>
      </c>
      <c r="D254" t="s">
        <v>17</v>
      </c>
      <c r="E254">
        <v>7790250</v>
      </c>
      <c r="F254" t="s">
        <v>18</v>
      </c>
      <c r="G254">
        <v>0</v>
      </c>
      <c r="H254">
        <v>269</v>
      </c>
      <c r="I254">
        <v>1</v>
      </c>
      <c r="J254">
        <v>84.957999999999998</v>
      </c>
      <c r="K254">
        <v>0.31662703924292002</v>
      </c>
      <c r="L254">
        <v>0.31582899628252697</v>
      </c>
      <c r="M254">
        <v>1</v>
      </c>
      <c r="N254">
        <v>84.957999999999998</v>
      </c>
      <c r="O254" t="s">
        <v>20</v>
      </c>
      <c r="P254" t="s">
        <v>21</v>
      </c>
    </row>
    <row r="255" spans="1:16" x14ac:dyDescent="0.2">
      <c r="A255" t="s">
        <v>135</v>
      </c>
      <c r="B255" t="str" cm="1">
        <f t="array" ref="B255">INDEX(_xlfn.TEXTSPLIT(A255," - "),2)</f>
        <v>bbc</v>
      </c>
      <c r="C255" t="s">
        <v>23</v>
      </c>
      <c r="D255" t="s">
        <v>24</v>
      </c>
      <c r="E255">
        <v>7790248</v>
      </c>
      <c r="F255" t="s">
        <v>18</v>
      </c>
      <c r="G255">
        <v>0</v>
      </c>
      <c r="H255">
        <v>3140</v>
      </c>
      <c r="I255">
        <v>0.54692524993500802</v>
      </c>
      <c r="J255">
        <v>134.64424572999999</v>
      </c>
      <c r="K255">
        <v>1.2754687550774999</v>
      </c>
      <c r="L255">
        <v>4.2880333035031797E-2</v>
      </c>
      <c r="M255">
        <v>1</v>
      </c>
      <c r="N255">
        <v>134.64424572999999</v>
      </c>
      <c r="O255" t="s">
        <v>20</v>
      </c>
      <c r="P255" t="s">
        <v>21</v>
      </c>
    </row>
    <row r="256" spans="1:16" x14ac:dyDescent="0.2">
      <c r="A256" t="s">
        <v>136</v>
      </c>
      <c r="B256" t="str" cm="1">
        <f t="array" ref="B256">INDEX(_xlfn.TEXTSPLIT(A256," - "),2)</f>
        <v>bbc</v>
      </c>
      <c r="C256" t="s">
        <v>23</v>
      </c>
      <c r="D256" t="s">
        <v>24</v>
      </c>
      <c r="E256">
        <v>7790238</v>
      </c>
      <c r="F256" t="s">
        <v>18</v>
      </c>
      <c r="G256">
        <v>0</v>
      </c>
      <c r="H256">
        <v>1459</v>
      </c>
      <c r="I256">
        <v>0.464034424832176</v>
      </c>
      <c r="J256">
        <v>139.14953894000001</v>
      </c>
      <c r="K256">
        <v>0.48654579166235901</v>
      </c>
      <c r="L256">
        <v>9.5373227511994493E-2</v>
      </c>
      <c r="M256">
        <v>1</v>
      </c>
      <c r="N256">
        <v>139.14953894000001</v>
      </c>
      <c r="O256" t="s">
        <v>20</v>
      </c>
      <c r="P256" t="s">
        <v>21</v>
      </c>
    </row>
    <row r="257" spans="1:16" x14ac:dyDescent="0.2">
      <c r="A257" t="s">
        <v>138</v>
      </c>
      <c r="B257" t="str" cm="1">
        <f t="array" ref="B257">INDEX(_xlfn.TEXTSPLIT(A257," - "),2)</f>
        <v>bbc</v>
      </c>
      <c r="C257" t="s">
        <v>23</v>
      </c>
      <c r="D257" t="s">
        <v>24</v>
      </c>
      <c r="E257">
        <v>7790220</v>
      </c>
      <c r="F257" t="s">
        <v>18</v>
      </c>
      <c r="G257">
        <v>0</v>
      </c>
      <c r="H257">
        <v>666</v>
      </c>
      <c r="I257">
        <v>1</v>
      </c>
      <c r="J257">
        <v>123.45099999999999</v>
      </c>
      <c r="K257">
        <v>0.53948530186065702</v>
      </c>
      <c r="L257">
        <v>0.18536186186186099</v>
      </c>
      <c r="M257">
        <v>1</v>
      </c>
      <c r="N257">
        <v>123.45099999999999</v>
      </c>
      <c r="O257" t="s">
        <v>20</v>
      </c>
      <c r="P257" t="s">
        <v>21</v>
      </c>
    </row>
    <row r="258" spans="1:16" x14ac:dyDescent="0.2">
      <c r="A258" t="s">
        <v>143</v>
      </c>
      <c r="B258" t="str" cm="1">
        <f t="array" ref="B258">INDEX(_xlfn.TEXTSPLIT(A258," - "),2)</f>
        <v>bbc</v>
      </c>
      <c r="C258" t="s">
        <v>23</v>
      </c>
      <c r="D258" t="s">
        <v>24</v>
      </c>
      <c r="E258">
        <v>7790200</v>
      </c>
      <c r="F258" t="s">
        <v>18</v>
      </c>
      <c r="G258">
        <v>0</v>
      </c>
      <c r="H258">
        <v>441</v>
      </c>
      <c r="I258">
        <v>1</v>
      </c>
      <c r="J258">
        <v>207.803</v>
      </c>
      <c r="K258">
        <v>0.21222022781191799</v>
      </c>
      <c r="L258">
        <v>0.471208616780045</v>
      </c>
      <c r="M258">
        <v>1</v>
      </c>
      <c r="N258">
        <v>207.803</v>
      </c>
      <c r="O258" t="s">
        <v>20</v>
      </c>
      <c r="P258" t="s">
        <v>21</v>
      </c>
    </row>
    <row r="259" spans="1:16" x14ac:dyDescent="0.2">
      <c r="A259" t="s">
        <v>144</v>
      </c>
      <c r="B259" t="str" cm="1">
        <f t="array" ref="B259">INDEX(_xlfn.TEXTSPLIT(A259," - "),2)</f>
        <v>bbc</v>
      </c>
      <c r="C259" t="s">
        <v>33</v>
      </c>
      <c r="D259" t="s">
        <v>17</v>
      </c>
      <c r="E259">
        <v>7790194</v>
      </c>
      <c r="F259" t="s">
        <v>18</v>
      </c>
      <c r="G259">
        <v>0</v>
      </c>
      <c r="H259">
        <v>21</v>
      </c>
      <c r="I259">
        <v>1</v>
      </c>
      <c r="J259">
        <v>5.984</v>
      </c>
      <c r="K259">
        <v>0.35093582887700497</v>
      </c>
      <c r="L259">
        <v>0.28495238095238001</v>
      </c>
      <c r="M259">
        <v>1</v>
      </c>
      <c r="N259">
        <v>5.984</v>
      </c>
      <c r="O259" t="s">
        <v>20</v>
      </c>
      <c r="P259" t="s">
        <v>21</v>
      </c>
    </row>
    <row r="260" spans="1:16" x14ac:dyDescent="0.2">
      <c r="A260" t="s">
        <v>150</v>
      </c>
      <c r="B260" t="str" cm="1">
        <f t="array" ref="B260">INDEX(_xlfn.TEXTSPLIT(A260," - "),2)</f>
        <v>creampie</v>
      </c>
      <c r="C260" t="s">
        <v>23</v>
      </c>
      <c r="D260" t="s">
        <v>24</v>
      </c>
      <c r="E260">
        <v>7790174</v>
      </c>
      <c r="F260" t="s">
        <v>18</v>
      </c>
      <c r="G260">
        <v>0</v>
      </c>
      <c r="H260">
        <v>358</v>
      </c>
      <c r="I260">
        <v>0.77548907415177004</v>
      </c>
      <c r="J260">
        <v>112.74913198</v>
      </c>
      <c r="K260">
        <v>0.24623257285526601</v>
      </c>
      <c r="L260">
        <v>0.31494170944133998</v>
      </c>
      <c r="M260">
        <v>1</v>
      </c>
      <c r="N260">
        <v>112.74913198</v>
      </c>
      <c r="O260" t="s">
        <v>20</v>
      </c>
      <c r="P260" t="s">
        <v>21</v>
      </c>
    </row>
    <row r="261" spans="1:16" x14ac:dyDescent="0.2">
      <c r="A261" t="s">
        <v>155</v>
      </c>
      <c r="B261" t="str" cm="1">
        <f t="array" ref="B261">INDEX(_xlfn.TEXTSPLIT(A261," - "),2)</f>
        <v>creampie</v>
      </c>
      <c r="C261" t="s">
        <v>23</v>
      </c>
      <c r="D261" t="s">
        <v>24</v>
      </c>
      <c r="E261">
        <v>7790150</v>
      </c>
      <c r="F261" t="s">
        <v>18</v>
      </c>
      <c r="G261">
        <v>0</v>
      </c>
      <c r="H261">
        <v>209</v>
      </c>
      <c r="I261">
        <v>1</v>
      </c>
      <c r="J261">
        <v>103.39100000000001</v>
      </c>
      <c r="K261">
        <v>0.20214525442253101</v>
      </c>
      <c r="L261">
        <v>0.49469377990430602</v>
      </c>
      <c r="M261">
        <v>1</v>
      </c>
      <c r="N261">
        <v>103.39100000000001</v>
      </c>
      <c r="O261" t="s">
        <v>20</v>
      </c>
      <c r="P261" t="s">
        <v>21</v>
      </c>
    </row>
    <row r="262" spans="1:16" x14ac:dyDescent="0.2">
      <c r="A262" t="s">
        <v>164</v>
      </c>
      <c r="B262" t="str" cm="1">
        <f t="array" ref="B262">INDEX(_xlfn.TEXTSPLIT(A262," - "),2)</f>
        <v>edging</v>
      </c>
      <c r="C262" t="s">
        <v>23</v>
      </c>
      <c r="D262" t="s">
        <v>24</v>
      </c>
      <c r="E262">
        <v>7790078</v>
      </c>
      <c r="F262" t="s">
        <v>18</v>
      </c>
      <c r="G262">
        <v>0</v>
      </c>
      <c r="H262">
        <v>766</v>
      </c>
      <c r="I262">
        <v>1.5661939567462899</v>
      </c>
      <c r="J262">
        <v>236.23060068999999</v>
      </c>
      <c r="K262">
        <v>0.50785316015938298</v>
      </c>
      <c r="L262">
        <v>0.30839504006527402</v>
      </c>
      <c r="M262">
        <v>1</v>
      </c>
      <c r="N262">
        <v>236.23060068999999</v>
      </c>
      <c r="O262" t="s">
        <v>20</v>
      </c>
      <c r="P262" t="s">
        <v>21</v>
      </c>
    </row>
    <row r="263" spans="1:16" x14ac:dyDescent="0.2">
      <c r="A263" t="s">
        <v>175</v>
      </c>
      <c r="B263" t="str" cm="1">
        <f t="array" ref="B263">INDEX(_xlfn.TEXTSPLIT(A263," - "),2)</f>
        <v>stepsister</v>
      </c>
      <c r="C263" t="s">
        <v>23</v>
      </c>
      <c r="D263" t="s">
        <v>24</v>
      </c>
      <c r="E263">
        <v>7762924</v>
      </c>
      <c r="F263" t="s">
        <v>18</v>
      </c>
      <c r="G263">
        <v>0</v>
      </c>
      <c r="H263">
        <v>838</v>
      </c>
      <c r="I263">
        <v>1</v>
      </c>
      <c r="J263">
        <v>137.197</v>
      </c>
      <c r="K263">
        <v>0.61080052770833104</v>
      </c>
      <c r="L263">
        <v>0.16371957040572699</v>
      </c>
      <c r="M263">
        <v>1</v>
      </c>
      <c r="N263">
        <v>137.197</v>
      </c>
      <c r="O263" t="s">
        <v>20</v>
      </c>
      <c r="P263" t="s">
        <v>21</v>
      </c>
    </row>
    <row r="264" spans="1:16" x14ac:dyDescent="0.2">
      <c r="A264" t="s">
        <v>187</v>
      </c>
      <c r="B264" t="str" cm="1">
        <f t="array" ref="B264">INDEX(_xlfn.TEXTSPLIT(A264," - "),2)</f>
        <v>pov</v>
      </c>
      <c r="C264" t="s">
        <v>23</v>
      </c>
      <c r="D264" t="s">
        <v>24</v>
      </c>
      <c r="E264">
        <v>7762876</v>
      </c>
      <c r="F264" t="s">
        <v>18</v>
      </c>
      <c r="G264">
        <v>0</v>
      </c>
      <c r="H264">
        <v>607</v>
      </c>
      <c r="I264">
        <v>0.80320142640251002</v>
      </c>
      <c r="J264">
        <v>118.50353525</v>
      </c>
      <c r="K264">
        <v>0.41141664237930298</v>
      </c>
      <c r="L264">
        <v>0.195228229406919</v>
      </c>
      <c r="M264">
        <v>1</v>
      </c>
      <c r="N264">
        <v>118.50353525</v>
      </c>
      <c r="O264" t="s">
        <v>20</v>
      </c>
      <c r="P264" t="s">
        <v>21</v>
      </c>
    </row>
    <row r="265" spans="1:16" x14ac:dyDescent="0.2">
      <c r="A265" t="s">
        <v>190</v>
      </c>
      <c r="B265" t="str" cm="1">
        <f t="array" ref="B265">INDEX(_xlfn.TEXTSPLIT(A265," - "),2)</f>
        <v>pov</v>
      </c>
      <c r="C265" t="s">
        <v>33</v>
      </c>
      <c r="D265" t="s">
        <v>17</v>
      </c>
      <c r="E265">
        <v>7762866</v>
      </c>
      <c r="F265" t="s">
        <v>18</v>
      </c>
      <c r="G265">
        <v>0</v>
      </c>
      <c r="H265">
        <v>96</v>
      </c>
      <c r="I265">
        <v>1</v>
      </c>
      <c r="J265">
        <v>44.47</v>
      </c>
      <c r="K265">
        <v>0.215875871373959</v>
      </c>
      <c r="L265">
        <v>0.46322916666666603</v>
      </c>
      <c r="M265">
        <v>1</v>
      </c>
      <c r="N265">
        <v>44.47</v>
      </c>
      <c r="O265" t="s">
        <v>20</v>
      </c>
      <c r="P265" t="s">
        <v>21</v>
      </c>
    </row>
    <row r="266" spans="1:16" x14ac:dyDescent="0.2">
      <c r="A266" t="s">
        <v>191</v>
      </c>
      <c r="B266" t="str" cm="1">
        <f t="array" ref="B266">INDEX(_xlfn.TEXTSPLIT(A266," - "),2)</f>
        <v>pov</v>
      </c>
      <c r="C266" t="s">
        <v>23</v>
      </c>
      <c r="D266" t="s">
        <v>24</v>
      </c>
      <c r="E266">
        <v>7762860</v>
      </c>
      <c r="F266" t="s">
        <v>18</v>
      </c>
      <c r="G266">
        <v>0</v>
      </c>
      <c r="H266">
        <v>1143</v>
      </c>
      <c r="I266">
        <v>1</v>
      </c>
      <c r="J266">
        <v>199.322</v>
      </c>
      <c r="K266">
        <v>0.57344397507550504</v>
      </c>
      <c r="L266">
        <v>0.17438495188101399</v>
      </c>
      <c r="M266">
        <v>1</v>
      </c>
      <c r="N266">
        <v>199.322</v>
      </c>
      <c r="O266" t="s">
        <v>20</v>
      </c>
      <c r="P266" t="s">
        <v>21</v>
      </c>
    </row>
    <row r="267" spans="1:16" x14ac:dyDescent="0.2">
      <c r="A267" t="s">
        <v>198</v>
      </c>
      <c r="B267" t="str" cm="1">
        <f t="array" ref="B267">INDEX(_xlfn.TEXTSPLIT(A267," - "),2)</f>
        <v>pov</v>
      </c>
      <c r="C267" t="s">
        <v>33</v>
      </c>
      <c r="D267" t="s">
        <v>17</v>
      </c>
      <c r="E267">
        <v>7762840</v>
      </c>
      <c r="F267" t="s">
        <v>18</v>
      </c>
      <c r="G267">
        <v>0</v>
      </c>
      <c r="H267">
        <v>133</v>
      </c>
      <c r="I267">
        <v>1</v>
      </c>
      <c r="J267">
        <v>123.363999999999</v>
      </c>
      <c r="K267">
        <v>0.107811030770727</v>
      </c>
      <c r="L267">
        <v>0.92754887218045101</v>
      </c>
      <c r="M267">
        <v>1</v>
      </c>
      <c r="N267">
        <v>123.363999999999</v>
      </c>
      <c r="O267" t="s">
        <v>20</v>
      </c>
      <c r="P267" t="s">
        <v>21</v>
      </c>
    </row>
    <row r="268" spans="1:16" x14ac:dyDescent="0.2">
      <c r="A268" t="s">
        <v>201</v>
      </c>
      <c r="B268" t="str" cm="1">
        <f t="array" ref="B268">INDEX(_xlfn.TEXTSPLIT(A268," - "),2)</f>
        <v>threesome</v>
      </c>
      <c r="C268" t="s">
        <v>23</v>
      </c>
      <c r="D268" t="s">
        <v>24</v>
      </c>
      <c r="E268">
        <v>7762824</v>
      </c>
      <c r="F268" t="s">
        <v>18</v>
      </c>
      <c r="G268">
        <v>0</v>
      </c>
      <c r="H268">
        <v>4562</v>
      </c>
      <c r="I268">
        <v>0.50421015633378496</v>
      </c>
      <c r="J268">
        <v>176.77406396999999</v>
      </c>
      <c r="K268">
        <v>1.30121279193145</v>
      </c>
      <c r="L268">
        <v>3.87492468149934E-2</v>
      </c>
      <c r="M268">
        <v>1</v>
      </c>
      <c r="N268">
        <v>176.77406396999999</v>
      </c>
      <c r="O268" t="s">
        <v>20</v>
      </c>
      <c r="P268" t="s">
        <v>21</v>
      </c>
    </row>
    <row r="269" spans="1:16" x14ac:dyDescent="0.2">
      <c r="A269" t="s">
        <v>205</v>
      </c>
      <c r="B269" t="str" cm="1">
        <f t="array" ref="B269">INDEX(_xlfn.TEXTSPLIT(A269," - "),2)</f>
        <v>threesome</v>
      </c>
      <c r="C269" t="s">
        <v>23</v>
      </c>
      <c r="D269" t="s">
        <v>24</v>
      </c>
      <c r="E269">
        <v>7762814</v>
      </c>
      <c r="F269" t="s">
        <v>18</v>
      </c>
      <c r="G269">
        <v>0</v>
      </c>
      <c r="H269">
        <v>449</v>
      </c>
      <c r="I269">
        <v>0.76287647081116405</v>
      </c>
      <c r="J269">
        <v>102.66181243</v>
      </c>
      <c r="K269">
        <v>0.33365038789644202</v>
      </c>
      <c r="L269">
        <v>0.228645461982182</v>
      </c>
      <c r="M269">
        <v>1</v>
      </c>
      <c r="N269">
        <v>102.66181243</v>
      </c>
      <c r="O269" t="s">
        <v>20</v>
      </c>
      <c r="P269" t="s">
        <v>21</v>
      </c>
    </row>
    <row r="270" spans="1:16" x14ac:dyDescent="0.2">
      <c r="A270" t="s">
        <v>209</v>
      </c>
      <c r="B270" t="str" cm="1">
        <f t="array" ref="B270">INDEX(_xlfn.TEXTSPLIT(A270," - "),2)</f>
        <v>threesome</v>
      </c>
      <c r="C270" t="s">
        <v>23</v>
      </c>
      <c r="D270" t="s">
        <v>24</v>
      </c>
      <c r="E270">
        <v>7762798</v>
      </c>
      <c r="F270" t="s">
        <v>18</v>
      </c>
      <c r="G270">
        <v>0</v>
      </c>
      <c r="H270">
        <v>1074</v>
      </c>
      <c r="I270">
        <v>1</v>
      </c>
      <c r="J270">
        <v>182.352</v>
      </c>
      <c r="K270">
        <v>0.58897078178467999</v>
      </c>
      <c r="L270">
        <v>0.16978770949720601</v>
      </c>
      <c r="M270">
        <v>1</v>
      </c>
      <c r="N270">
        <v>182.352</v>
      </c>
      <c r="O270" t="s">
        <v>20</v>
      </c>
      <c r="P270" t="s">
        <v>21</v>
      </c>
    </row>
    <row r="271" spans="1:16" x14ac:dyDescent="0.2">
      <c r="A271" t="s">
        <v>212</v>
      </c>
      <c r="B271" t="str" cm="1">
        <f t="array" ref="B271">INDEX(_xlfn.TEXTSPLIT(A271," - "),2)</f>
        <v>threesome</v>
      </c>
      <c r="C271" t="s">
        <v>33</v>
      </c>
      <c r="D271" t="s">
        <v>17</v>
      </c>
      <c r="E271">
        <v>7762788</v>
      </c>
      <c r="F271" t="s">
        <v>18</v>
      </c>
      <c r="G271">
        <v>0</v>
      </c>
      <c r="H271">
        <v>192</v>
      </c>
      <c r="I271">
        <v>1</v>
      </c>
      <c r="J271">
        <v>86.343999999999994</v>
      </c>
      <c r="K271">
        <v>0.222366348559251</v>
      </c>
      <c r="L271">
        <v>0.44970833333333299</v>
      </c>
      <c r="M271">
        <v>1</v>
      </c>
      <c r="N271">
        <v>86.343999999999994</v>
      </c>
      <c r="O271" t="s">
        <v>20</v>
      </c>
      <c r="P271" t="s">
        <v>21</v>
      </c>
    </row>
    <row r="272" spans="1:16" x14ac:dyDescent="0.2">
      <c r="A272" t="s">
        <v>214</v>
      </c>
      <c r="B272" t="str" cm="1">
        <f t="array" ref="B272">INDEX(_xlfn.TEXTSPLIT(A272," - "),2)</f>
        <v>threesome</v>
      </c>
      <c r="C272" t="s">
        <v>23</v>
      </c>
      <c r="D272" t="s">
        <v>24</v>
      </c>
      <c r="E272">
        <v>7762784</v>
      </c>
      <c r="F272" t="s">
        <v>18</v>
      </c>
      <c r="G272">
        <v>0</v>
      </c>
      <c r="H272">
        <v>1383</v>
      </c>
      <c r="I272">
        <v>1</v>
      </c>
      <c r="J272">
        <v>198.11500000000001</v>
      </c>
      <c r="K272">
        <v>0.69807939832925303</v>
      </c>
      <c r="L272">
        <v>0.14325018076644899</v>
      </c>
      <c r="M272">
        <v>1</v>
      </c>
      <c r="N272">
        <v>198.11500000000001</v>
      </c>
      <c r="O272" t="s">
        <v>20</v>
      </c>
      <c r="P272" t="s">
        <v>21</v>
      </c>
    </row>
    <row r="273" spans="1:16" x14ac:dyDescent="0.2">
      <c r="A273" t="s">
        <v>215</v>
      </c>
      <c r="B273" t="str" cm="1">
        <f t="array" ref="B273">INDEX(_xlfn.TEXTSPLIT(A273," - "),2)</f>
        <v>threesome</v>
      </c>
      <c r="C273" t="s">
        <v>33</v>
      </c>
      <c r="D273" t="s">
        <v>17</v>
      </c>
      <c r="E273">
        <v>7762780</v>
      </c>
      <c r="F273" t="s">
        <v>18</v>
      </c>
      <c r="G273">
        <v>0</v>
      </c>
      <c r="H273">
        <v>67</v>
      </c>
      <c r="I273">
        <v>1</v>
      </c>
      <c r="J273">
        <v>36.701999999999998</v>
      </c>
      <c r="K273">
        <v>0.18255135959893101</v>
      </c>
      <c r="L273">
        <v>0.54779104477611895</v>
      </c>
      <c r="M273">
        <v>1</v>
      </c>
      <c r="N273">
        <v>36.701999999999998</v>
      </c>
      <c r="O273" t="s">
        <v>20</v>
      </c>
      <c r="P273" t="s">
        <v>21</v>
      </c>
    </row>
    <row r="274" spans="1:16" x14ac:dyDescent="0.2">
      <c r="A274" t="s">
        <v>221</v>
      </c>
      <c r="B274" t="str" cm="1">
        <f t="array" ref="B274">INDEX(_xlfn.TEXTSPLIT(A274," - "),2)</f>
        <v>Category: Latina</v>
      </c>
      <c r="C274" t="s">
        <v>33</v>
      </c>
      <c r="D274" t="s">
        <v>17</v>
      </c>
      <c r="E274">
        <v>7762316</v>
      </c>
      <c r="F274" t="s">
        <v>18</v>
      </c>
      <c r="G274">
        <v>0</v>
      </c>
      <c r="H274">
        <v>972</v>
      </c>
      <c r="I274">
        <v>0.43664324323699599</v>
      </c>
      <c r="J274">
        <v>132.24220929000001</v>
      </c>
      <c r="K274">
        <v>0.32093930879182198</v>
      </c>
      <c r="L274">
        <v>0.136051655648148</v>
      </c>
      <c r="M274">
        <v>1</v>
      </c>
      <c r="N274">
        <v>132.24220929000001</v>
      </c>
      <c r="O274" t="s">
        <v>20</v>
      </c>
      <c r="P274" t="s">
        <v>21</v>
      </c>
    </row>
    <row r="275" spans="1:16" x14ac:dyDescent="0.2">
      <c r="A275" t="s">
        <v>230</v>
      </c>
      <c r="B275" t="str" cm="1">
        <f t="array" ref="B275">INDEX(_xlfn.TEXTSPLIT(A275," - "),2)</f>
        <v>Category: Latina</v>
      </c>
      <c r="C275" t="s">
        <v>33</v>
      </c>
      <c r="D275" t="s">
        <v>17</v>
      </c>
      <c r="E275">
        <v>7762290</v>
      </c>
      <c r="F275" t="s">
        <v>18</v>
      </c>
      <c r="G275">
        <v>0</v>
      </c>
      <c r="H275">
        <v>150</v>
      </c>
      <c r="I275">
        <v>1</v>
      </c>
      <c r="J275">
        <v>81.834000000000003</v>
      </c>
      <c r="K275">
        <v>0.18329789574015601</v>
      </c>
      <c r="L275">
        <v>0.54556000000000004</v>
      </c>
      <c r="M275">
        <v>1</v>
      </c>
      <c r="N275">
        <v>81.834000000000003</v>
      </c>
      <c r="O275" t="s">
        <v>20</v>
      </c>
      <c r="P275" t="s">
        <v>21</v>
      </c>
    </row>
    <row r="276" spans="1:16" x14ac:dyDescent="0.2">
      <c r="A276" t="s">
        <v>232</v>
      </c>
      <c r="B276" t="str" cm="1">
        <f t="array" ref="B276">INDEX(_xlfn.TEXTSPLIT(A276," - "),2)</f>
        <v>Category: Latina</v>
      </c>
      <c r="C276" t="s">
        <v>23</v>
      </c>
      <c r="D276" t="s">
        <v>24</v>
      </c>
      <c r="E276">
        <v>7762284</v>
      </c>
      <c r="F276" t="s">
        <v>18</v>
      </c>
      <c r="G276">
        <v>0</v>
      </c>
      <c r="H276">
        <v>1862</v>
      </c>
      <c r="I276">
        <v>0.99995249180483603</v>
      </c>
      <c r="J276">
        <v>294.67200000000003</v>
      </c>
      <c r="K276">
        <v>0.63185899567675397</v>
      </c>
      <c r="L276">
        <v>0.15825563909774401</v>
      </c>
      <c r="M276">
        <v>1</v>
      </c>
      <c r="N276">
        <v>294.67200000000003</v>
      </c>
      <c r="O276" t="s">
        <v>20</v>
      </c>
      <c r="P276" t="s">
        <v>21</v>
      </c>
    </row>
    <row r="277" spans="1:16" x14ac:dyDescent="0.2">
      <c r="A277" t="s">
        <v>234</v>
      </c>
      <c r="B277" t="str" cm="1">
        <f t="array" ref="B277">INDEX(_xlfn.TEXTSPLIT(A277," - "),2)</f>
        <v>Category: Latina</v>
      </c>
      <c r="C277" t="s">
        <v>23</v>
      </c>
      <c r="D277" t="s">
        <v>24</v>
      </c>
      <c r="E277">
        <v>7762278</v>
      </c>
      <c r="F277" t="s">
        <v>18</v>
      </c>
      <c r="G277">
        <v>0</v>
      </c>
      <c r="H277">
        <v>131</v>
      </c>
      <c r="I277">
        <v>1</v>
      </c>
      <c r="J277">
        <v>105.72199999999999</v>
      </c>
      <c r="K277">
        <v>0.123909876846824</v>
      </c>
      <c r="L277">
        <v>0.80703816793893102</v>
      </c>
      <c r="M277">
        <v>1</v>
      </c>
      <c r="N277">
        <v>105.72199999999999</v>
      </c>
      <c r="O277" t="s">
        <v>20</v>
      </c>
      <c r="P277" t="s">
        <v>21</v>
      </c>
    </row>
    <row r="278" spans="1:16" x14ac:dyDescent="0.2">
      <c r="A278" t="s">
        <v>242</v>
      </c>
      <c r="B278" t="str" cm="1">
        <f t="array" ref="B278">INDEX(_xlfn.TEXTSPLIT(A278," - "),2)</f>
        <v>Gay</v>
      </c>
      <c r="C278" t="s">
        <v>23</v>
      </c>
      <c r="D278" t="s">
        <v>24</v>
      </c>
      <c r="E278">
        <v>7754988</v>
      </c>
      <c r="F278" t="s">
        <v>18</v>
      </c>
      <c r="G278">
        <v>0</v>
      </c>
      <c r="H278">
        <v>6472</v>
      </c>
      <c r="I278">
        <v>0.62957788810697701</v>
      </c>
      <c r="J278">
        <v>172.12911292000001</v>
      </c>
      <c r="K278">
        <v>2.3671928720867199</v>
      </c>
      <c r="L278">
        <v>2.6595969239802199E-2</v>
      </c>
      <c r="M278">
        <v>1</v>
      </c>
      <c r="N278">
        <v>172.12911292000001</v>
      </c>
      <c r="O278" t="s">
        <v>20</v>
      </c>
      <c r="P278" t="s">
        <v>21</v>
      </c>
    </row>
    <row r="279" spans="1:16" x14ac:dyDescent="0.2">
      <c r="A279" t="s">
        <v>271</v>
      </c>
      <c r="B279" t="str" cm="1">
        <f t="array" ref="B279">INDEX(_xlfn.TEXTSPLIT(A279," - "),2)</f>
        <v>witch</v>
      </c>
      <c r="C279" t="s">
        <v>23</v>
      </c>
      <c r="D279" t="s">
        <v>24</v>
      </c>
      <c r="E279">
        <v>7729248</v>
      </c>
      <c r="F279" t="s">
        <v>18</v>
      </c>
      <c r="G279">
        <v>0</v>
      </c>
      <c r="H279">
        <v>166</v>
      </c>
      <c r="I279">
        <v>1.69295949236001</v>
      </c>
      <c r="J279">
        <v>100.04882712</v>
      </c>
      <c r="K279">
        <v>0.28089412322114399</v>
      </c>
      <c r="L279">
        <v>0.602703777831325</v>
      </c>
      <c r="M279">
        <v>1</v>
      </c>
      <c r="N279">
        <v>100.04882712</v>
      </c>
      <c r="O279" t="s">
        <v>20</v>
      </c>
      <c r="P279">
        <v>50</v>
      </c>
    </row>
    <row r="280" spans="1:16" x14ac:dyDescent="0.2">
      <c r="A280" t="s">
        <v>274</v>
      </c>
      <c r="B280" t="str" cm="1">
        <f t="array" ref="B280">INDEX(_xlfn.TEXTSPLIT(A280," - "),2)</f>
        <v>toilet</v>
      </c>
      <c r="C280" t="s">
        <v>23</v>
      </c>
      <c r="D280" t="s">
        <v>24</v>
      </c>
      <c r="E280">
        <v>7729116</v>
      </c>
      <c r="F280" t="s">
        <v>18</v>
      </c>
      <c r="G280">
        <v>0</v>
      </c>
      <c r="H280">
        <v>192</v>
      </c>
      <c r="I280">
        <v>1.7576483167986501</v>
      </c>
      <c r="J280">
        <v>100.09982929</v>
      </c>
      <c r="K280">
        <v>0.33713192042281898</v>
      </c>
      <c r="L280">
        <v>0.52135327755208305</v>
      </c>
      <c r="M280">
        <v>1</v>
      </c>
      <c r="N280">
        <v>100.09982929</v>
      </c>
      <c r="O280" t="s">
        <v>20</v>
      </c>
      <c r="P280">
        <v>200</v>
      </c>
    </row>
    <row r="281" spans="1:16" x14ac:dyDescent="0.2">
      <c r="A281" t="s">
        <v>279</v>
      </c>
      <c r="B281" t="str" cm="1">
        <f t="array" ref="B281">INDEX(_xlfn.TEXTSPLIT(A281," - "),2)</f>
        <v>clown</v>
      </c>
      <c r="C281" t="s">
        <v>23</v>
      </c>
      <c r="D281" t="s">
        <v>24</v>
      </c>
      <c r="E281">
        <v>7728944</v>
      </c>
      <c r="F281" t="s">
        <v>18</v>
      </c>
      <c r="G281">
        <v>0</v>
      </c>
      <c r="H281">
        <v>141</v>
      </c>
      <c r="I281">
        <v>1.63244727158478</v>
      </c>
      <c r="J281">
        <v>100.02004433</v>
      </c>
      <c r="K281">
        <v>0.23012893748979901</v>
      </c>
      <c r="L281">
        <v>0.709362016524822</v>
      </c>
      <c r="M281">
        <v>1</v>
      </c>
      <c r="N281">
        <v>100.02004433</v>
      </c>
      <c r="O281" t="s">
        <v>20</v>
      </c>
      <c r="P281">
        <v>50</v>
      </c>
    </row>
    <row r="282" spans="1:16" x14ac:dyDescent="0.2">
      <c r="A282" t="s">
        <v>288</v>
      </c>
      <c r="B282" t="str" cm="1">
        <f t="array" ref="B282">INDEX(_xlfn.TEXTSPLIT(A282," - "),2)</f>
        <v>triple</v>
      </c>
      <c r="C282" t="s">
        <v>23</v>
      </c>
      <c r="D282" t="s">
        <v>24</v>
      </c>
      <c r="E282">
        <v>7728712</v>
      </c>
      <c r="F282" t="s">
        <v>18</v>
      </c>
      <c r="G282">
        <v>0</v>
      </c>
      <c r="H282">
        <v>204</v>
      </c>
      <c r="I282">
        <v>1.7618704373855401</v>
      </c>
      <c r="J282">
        <v>100.06014587999999</v>
      </c>
      <c r="K282">
        <v>0.35920552190449301</v>
      </c>
      <c r="L282">
        <v>0.49049091117646998</v>
      </c>
      <c r="M282">
        <v>1</v>
      </c>
      <c r="N282">
        <v>100.06014587999999</v>
      </c>
      <c r="O282" t="s">
        <v>20</v>
      </c>
      <c r="P282">
        <v>200</v>
      </c>
    </row>
    <row r="283" spans="1:16" x14ac:dyDescent="0.2">
      <c r="A283" t="s">
        <v>292</v>
      </c>
      <c r="B283" t="str" cm="1">
        <f t="array" ref="B283">INDEX(_xlfn.TEXTSPLIT(A283," - "),2)</f>
        <v>belly</v>
      </c>
      <c r="C283" t="s">
        <v>23</v>
      </c>
      <c r="D283" t="s">
        <v>24</v>
      </c>
      <c r="E283">
        <v>7728610</v>
      </c>
      <c r="F283" t="s">
        <v>18</v>
      </c>
      <c r="G283">
        <v>0</v>
      </c>
      <c r="H283">
        <v>428</v>
      </c>
      <c r="I283">
        <v>0.999999999999999</v>
      </c>
      <c r="J283">
        <v>144.10299999999901</v>
      </c>
      <c r="K283">
        <v>0.29700977772843001</v>
      </c>
      <c r="L283">
        <v>0.33668925233644798</v>
      </c>
      <c r="M283">
        <v>1</v>
      </c>
      <c r="N283">
        <v>144.10299999999901</v>
      </c>
      <c r="O283" t="s">
        <v>20</v>
      </c>
      <c r="P283" t="s">
        <v>21</v>
      </c>
    </row>
    <row r="284" spans="1:16" x14ac:dyDescent="0.2">
      <c r="A284" t="s">
        <v>299</v>
      </c>
      <c r="B284" t="str" cm="1">
        <f t="array" ref="B284">INDEX(_xlfn.TEXTSPLIT(A284," - "),2)</f>
        <v>femdom</v>
      </c>
      <c r="C284" t="s">
        <v>263</v>
      </c>
      <c r="D284" t="s">
        <v>17</v>
      </c>
      <c r="E284">
        <v>7728432</v>
      </c>
      <c r="F284" t="s">
        <v>18</v>
      </c>
      <c r="G284">
        <v>0</v>
      </c>
      <c r="H284">
        <v>37</v>
      </c>
      <c r="I284">
        <v>1</v>
      </c>
      <c r="J284">
        <v>12.795</v>
      </c>
      <c r="K284">
        <v>0.28917545916373499</v>
      </c>
      <c r="L284">
        <v>0.34581081081081</v>
      </c>
      <c r="M284">
        <v>1</v>
      </c>
      <c r="N284">
        <v>12.795</v>
      </c>
      <c r="O284" t="s">
        <v>20</v>
      </c>
      <c r="P284" t="s">
        <v>21</v>
      </c>
    </row>
    <row r="285" spans="1:16" x14ac:dyDescent="0.2">
      <c r="A285" t="s">
        <v>301</v>
      </c>
      <c r="B285" t="str" cm="1">
        <f t="array" ref="B285">INDEX(_xlfn.TEXTSPLIT(A285," - "),2)</f>
        <v>milking</v>
      </c>
      <c r="C285" t="s">
        <v>23</v>
      </c>
      <c r="D285" t="s">
        <v>24</v>
      </c>
      <c r="E285">
        <v>7728346</v>
      </c>
      <c r="F285" t="s">
        <v>18</v>
      </c>
      <c r="G285">
        <v>0</v>
      </c>
      <c r="H285">
        <v>168</v>
      </c>
      <c r="I285">
        <v>1.63825984562242</v>
      </c>
      <c r="J285">
        <v>100.07146441</v>
      </c>
      <c r="K285">
        <v>0.27503110470827002</v>
      </c>
      <c r="L285">
        <v>0.59566347863095204</v>
      </c>
      <c r="M285">
        <v>1</v>
      </c>
      <c r="N285">
        <v>100.07146441</v>
      </c>
      <c r="O285" t="s">
        <v>20</v>
      </c>
      <c r="P285">
        <v>200</v>
      </c>
    </row>
    <row r="286" spans="1:16" x14ac:dyDescent="0.2">
      <c r="A286" t="s">
        <v>306</v>
      </c>
      <c r="B286" t="str" cm="1">
        <f t="array" ref="B286">INDEX(_xlfn.TEXTSPLIT(A286," - "),2)</f>
        <v>master</v>
      </c>
      <c r="C286" t="s">
        <v>23</v>
      </c>
      <c r="D286" t="s">
        <v>24</v>
      </c>
      <c r="E286">
        <v>7728180</v>
      </c>
      <c r="F286" t="s">
        <v>18</v>
      </c>
      <c r="G286">
        <v>0</v>
      </c>
      <c r="H286">
        <v>194</v>
      </c>
      <c r="I286">
        <v>1.67125173073069</v>
      </c>
      <c r="J286">
        <v>100.08792364999999</v>
      </c>
      <c r="K286">
        <v>0.32393801763291402</v>
      </c>
      <c r="L286">
        <v>0.51591713221649405</v>
      </c>
      <c r="M286">
        <v>1</v>
      </c>
      <c r="N286">
        <v>100.08792364999999</v>
      </c>
      <c r="O286" t="s">
        <v>20</v>
      </c>
      <c r="P286">
        <v>200</v>
      </c>
    </row>
    <row r="287" spans="1:16" x14ac:dyDescent="0.2">
      <c r="A287" t="s">
        <v>308</v>
      </c>
      <c r="B287" t="str" cm="1">
        <f t="array" ref="B287">INDEX(_xlfn.TEXTSPLIT(A287," - "),2)</f>
        <v>rope</v>
      </c>
      <c r="C287" t="s">
        <v>23</v>
      </c>
      <c r="D287" t="s">
        <v>24</v>
      </c>
      <c r="E287">
        <v>7728140</v>
      </c>
      <c r="F287" t="s">
        <v>18</v>
      </c>
      <c r="G287">
        <v>0</v>
      </c>
      <c r="H287">
        <v>169</v>
      </c>
      <c r="I287">
        <v>1.7186972821793101</v>
      </c>
      <c r="J287">
        <v>100.504260969999</v>
      </c>
      <c r="K287">
        <v>0.28900251380884701</v>
      </c>
      <c r="L287">
        <v>0.59469976905325395</v>
      </c>
      <c r="M287">
        <v>1</v>
      </c>
      <c r="N287">
        <v>100.504260969999</v>
      </c>
      <c r="O287" t="s">
        <v>20</v>
      </c>
      <c r="P287">
        <v>200</v>
      </c>
    </row>
    <row r="288" spans="1:16" x14ac:dyDescent="0.2">
      <c r="A288" t="s">
        <v>313</v>
      </c>
      <c r="B288" t="str" cm="1">
        <f t="array" ref="B288">INDEX(_xlfn.TEXTSPLIT(A288," - "),2)</f>
        <v>machine</v>
      </c>
      <c r="C288" t="s">
        <v>23</v>
      </c>
      <c r="D288" t="s">
        <v>24</v>
      </c>
      <c r="E288">
        <v>7728034</v>
      </c>
      <c r="F288" t="s">
        <v>18</v>
      </c>
      <c r="G288">
        <v>0</v>
      </c>
      <c r="H288">
        <v>273</v>
      </c>
      <c r="I288">
        <v>1.69213130364208</v>
      </c>
      <c r="J288">
        <v>100.07602955999999</v>
      </c>
      <c r="K288">
        <v>0.46160089276656102</v>
      </c>
      <c r="L288">
        <v>0.36657886285714197</v>
      </c>
      <c r="M288">
        <v>1</v>
      </c>
      <c r="N288">
        <v>100.07602955999999</v>
      </c>
      <c r="O288" t="s">
        <v>20</v>
      </c>
      <c r="P288">
        <v>200</v>
      </c>
    </row>
    <row r="289" spans="1:16" x14ac:dyDescent="0.2">
      <c r="A289" t="s">
        <v>324</v>
      </c>
      <c r="B289" t="str" cm="1">
        <f t="array" ref="B289">INDEX(_xlfn.TEXTSPLIT(A289," - "),2)</f>
        <v>latex</v>
      </c>
      <c r="C289" t="s">
        <v>263</v>
      </c>
      <c r="D289" t="s">
        <v>17</v>
      </c>
      <c r="E289">
        <v>7727774</v>
      </c>
      <c r="F289" t="s">
        <v>18</v>
      </c>
      <c r="G289">
        <v>0</v>
      </c>
      <c r="H289">
        <v>74</v>
      </c>
      <c r="I289">
        <v>1.52915062345204</v>
      </c>
      <c r="J289">
        <v>35.809649299999997</v>
      </c>
      <c r="K289">
        <v>0.31599624220684902</v>
      </c>
      <c r="L289">
        <v>0.483914179729729</v>
      </c>
      <c r="M289">
        <v>1</v>
      </c>
      <c r="N289">
        <v>35.809649299999997</v>
      </c>
      <c r="O289" t="s">
        <v>20</v>
      </c>
      <c r="P289" t="s">
        <v>21</v>
      </c>
    </row>
    <row r="290" spans="1:16" x14ac:dyDescent="0.2">
      <c r="A290" t="s">
        <v>326</v>
      </c>
      <c r="B290" t="str" cm="1">
        <f t="array" ref="B290">INDEX(_xlfn.TEXTSPLIT(A290," - "),2)</f>
        <v>spanish</v>
      </c>
      <c r="C290" t="s">
        <v>23</v>
      </c>
      <c r="D290" t="s">
        <v>24</v>
      </c>
      <c r="E290">
        <v>7727734</v>
      </c>
      <c r="F290" t="s">
        <v>18</v>
      </c>
      <c r="G290">
        <v>0</v>
      </c>
      <c r="H290">
        <v>261</v>
      </c>
      <c r="I290">
        <v>1</v>
      </c>
      <c r="J290">
        <v>100.054</v>
      </c>
      <c r="K290">
        <v>0.260859136066524</v>
      </c>
      <c r="L290">
        <v>0.38334865900383103</v>
      </c>
      <c r="M290">
        <v>1</v>
      </c>
      <c r="N290">
        <v>100.054</v>
      </c>
      <c r="O290" t="s">
        <v>20</v>
      </c>
      <c r="P290">
        <v>200</v>
      </c>
    </row>
    <row r="291" spans="1:16" x14ac:dyDescent="0.2">
      <c r="A291" t="s">
        <v>336</v>
      </c>
      <c r="B291" t="str" cm="1">
        <f t="array" ref="B291">INDEX(_xlfn.TEXTSPLIT(A291," - "),2)</f>
        <v>office</v>
      </c>
      <c r="C291" t="s">
        <v>23</v>
      </c>
      <c r="D291" t="s">
        <v>24</v>
      </c>
      <c r="E291">
        <v>7727544</v>
      </c>
      <c r="F291" t="s">
        <v>18</v>
      </c>
      <c r="G291">
        <v>0</v>
      </c>
      <c r="H291">
        <v>166</v>
      </c>
      <c r="I291">
        <v>1</v>
      </c>
      <c r="J291">
        <v>88.352000000000004</v>
      </c>
      <c r="K291">
        <v>0.18788482433900699</v>
      </c>
      <c r="L291">
        <v>0.53224096385542097</v>
      </c>
      <c r="M291">
        <v>1</v>
      </c>
      <c r="N291">
        <v>88.352000000000004</v>
      </c>
      <c r="O291" t="s">
        <v>20</v>
      </c>
      <c r="P291">
        <v>200</v>
      </c>
    </row>
    <row r="292" spans="1:16" x14ac:dyDescent="0.2">
      <c r="A292" t="s">
        <v>341</v>
      </c>
      <c r="B292" t="str" cm="1">
        <f t="array" ref="B292">INDEX(_xlfn.TEXTSPLIT(A292," - "),2)</f>
        <v>club</v>
      </c>
      <c r="C292" t="s">
        <v>23</v>
      </c>
      <c r="D292" t="s">
        <v>24</v>
      </c>
      <c r="E292">
        <v>7727434</v>
      </c>
      <c r="F292" t="s">
        <v>18</v>
      </c>
      <c r="G292">
        <v>0</v>
      </c>
      <c r="H292">
        <v>272</v>
      </c>
      <c r="I292">
        <v>1</v>
      </c>
      <c r="J292">
        <v>100.03100000000001</v>
      </c>
      <c r="K292">
        <v>0.271915706131099</v>
      </c>
      <c r="L292">
        <v>0.36776102941176397</v>
      </c>
      <c r="M292">
        <v>1</v>
      </c>
      <c r="N292">
        <v>100.03100000000001</v>
      </c>
      <c r="O292" t="s">
        <v>20</v>
      </c>
      <c r="P292">
        <v>50</v>
      </c>
    </row>
    <row r="293" spans="1:16" x14ac:dyDescent="0.2">
      <c r="A293" t="s">
        <v>342</v>
      </c>
      <c r="B293" t="str" cm="1">
        <f t="array" ref="B293">INDEX(_xlfn.TEXTSPLIT(A293," - "),2)</f>
        <v>maid</v>
      </c>
      <c r="C293" t="s">
        <v>252</v>
      </c>
      <c r="D293" t="s">
        <v>17</v>
      </c>
      <c r="E293">
        <v>7727388</v>
      </c>
      <c r="F293" t="s">
        <v>18</v>
      </c>
      <c r="G293">
        <v>0</v>
      </c>
      <c r="H293">
        <v>39</v>
      </c>
      <c r="I293">
        <v>1</v>
      </c>
      <c r="J293">
        <v>9.9120000000000008</v>
      </c>
      <c r="K293">
        <v>0.39346246973365601</v>
      </c>
      <c r="L293">
        <v>0.25415384615384601</v>
      </c>
      <c r="M293">
        <v>1</v>
      </c>
      <c r="N293">
        <v>9.9120000000000008</v>
      </c>
      <c r="O293" t="s">
        <v>20</v>
      </c>
      <c r="P293">
        <v>50</v>
      </c>
    </row>
    <row r="294" spans="1:16" x14ac:dyDescent="0.2">
      <c r="A294" t="s">
        <v>344</v>
      </c>
      <c r="B294" t="str" cm="1">
        <f t="array" ref="B294">INDEX(_xlfn.TEXTSPLIT(A294," - "),2)</f>
        <v>ahegao</v>
      </c>
      <c r="C294" t="s">
        <v>252</v>
      </c>
      <c r="D294" t="s">
        <v>17</v>
      </c>
      <c r="E294">
        <v>7727344</v>
      </c>
      <c r="F294" t="s">
        <v>18</v>
      </c>
      <c r="G294">
        <v>0</v>
      </c>
      <c r="H294">
        <v>46</v>
      </c>
      <c r="I294">
        <v>1.53857838262018</v>
      </c>
      <c r="J294">
        <v>18.626029899999999</v>
      </c>
      <c r="K294">
        <v>0.37997687097307098</v>
      </c>
      <c r="L294">
        <v>0.40491369347826001</v>
      </c>
      <c r="M294">
        <v>1</v>
      </c>
      <c r="N294">
        <v>18.626029899999999</v>
      </c>
      <c r="O294" t="s">
        <v>20</v>
      </c>
      <c r="P294">
        <v>200</v>
      </c>
    </row>
    <row r="295" spans="1:16" x14ac:dyDescent="0.2">
      <c r="A295" t="s">
        <v>346</v>
      </c>
      <c r="B295" t="str" cm="1">
        <f t="array" ref="B295">INDEX(_xlfn.TEXTSPLIT(A295," - "),2)</f>
        <v>stripper</v>
      </c>
      <c r="C295" t="s">
        <v>263</v>
      </c>
      <c r="D295" t="s">
        <v>17</v>
      </c>
      <c r="E295">
        <v>7727304</v>
      </c>
      <c r="F295" t="s">
        <v>18</v>
      </c>
      <c r="G295">
        <v>0</v>
      </c>
      <c r="H295">
        <v>21</v>
      </c>
      <c r="I295">
        <v>1</v>
      </c>
      <c r="J295">
        <v>7.3819999999999997</v>
      </c>
      <c r="K295">
        <v>0.28447575182877199</v>
      </c>
      <c r="L295">
        <v>0.35152380952380902</v>
      </c>
      <c r="M295">
        <v>1</v>
      </c>
      <c r="N295">
        <v>7.3819999999999997</v>
      </c>
      <c r="O295" t="s">
        <v>20</v>
      </c>
      <c r="P295" t="s">
        <v>21</v>
      </c>
    </row>
    <row r="296" spans="1:16" x14ac:dyDescent="0.2">
      <c r="A296" t="s">
        <v>360</v>
      </c>
      <c r="B296" t="str" cm="1">
        <f t="array" ref="B296">INDEX(_xlfn.TEXTSPLIT(A296," - "),2)</f>
        <v>mature</v>
      </c>
      <c r="C296" t="s">
        <v>23</v>
      </c>
      <c r="D296" t="s">
        <v>24</v>
      </c>
      <c r="E296">
        <v>7726956</v>
      </c>
      <c r="F296" t="s">
        <v>18</v>
      </c>
      <c r="G296">
        <v>0</v>
      </c>
      <c r="H296">
        <v>197</v>
      </c>
      <c r="I296">
        <v>0.999999999999999</v>
      </c>
      <c r="J296">
        <v>100.003999999999</v>
      </c>
      <c r="K296">
        <v>0.19699212031518701</v>
      </c>
      <c r="L296">
        <v>0.50763451776649704</v>
      </c>
      <c r="M296">
        <v>1</v>
      </c>
      <c r="N296">
        <v>100.003999999999</v>
      </c>
      <c r="O296" t="s">
        <v>20</v>
      </c>
      <c r="P296">
        <v>50</v>
      </c>
    </row>
    <row r="297" spans="1:16" x14ac:dyDescent="0.2">
      <c r="A297" t="s">
        <v>367</v>
      </c>
      <c r="B297" t="str" cm="1">
        <f t="array" ref="B297">INDEX(_xlfn.TEXTSPLIT(A297," - "),2)</f>
        <v>wife</v>
      </c>
      <c r="C297" t="s">
        <v>23</v>
      </c>
      <c r="D297" t="s">
        <v>24</v>
      </c>
      <c r="E297">
        <v>7726710</v>
      </c>
      <c r="F297" t="s">
        <v>18</v>
      </c>
      <c r="G297">
        <v>0</v>
      </c>
      <c r="H297">
        <v>406</v>
      </c>
      <c r="I297">
        <v>1</v>
      </c>
      <c r="J297">
        <v>179.554</v>
      </c>
      <c r="K297">
        <v>0.22611582031032401</v>
      </c>
      <c r="L297">
        <v>0.442251231527093</v>
      </c>
      <c r="M297">
        <v>1</v>
      </c>
      <c r="N297">
        <v>179.554</v>
      </c>
      <c r="O297" t="s">
        <v>20</v>
      </c>
      <c r="P297" t="s">
        <v>21</v>
      </c>
    </row>
    <row r="298" spans="1:16" x14ac:dyDescent="0.2">
      <c r="A298" t="s">
        <v>370</v>
      </c>
      <c r="B298" t="str" cm="1">
        <f t="array" ref="B298">INDEX(_xlfn.TEXTSPLIT(A298," - "),2)</f>
        <v>trans</v>
      </c>
      <c r="C298" t="s">
        <v>23</v>
      </c>
      <c r="D298" t="s">
        <v>24</v>
      </c>
      <c r="E298">
        <v>7726648</v>
      </c>
      <c r="F298" t="s">
        <v>18</v>
      </c>
      <c r="G298">
        <v>0</v>
      </c>
      <c r="H298">
        <v>318</v>
      </c>
      <c r="I298">
        <v>1</v>
      </c>
      <c r="J298">
        <v>100.10299999999999</v>
      </c>
      <c r="K298">
        <v>0.31767279701906997</v>
      </c>
      <c r="L298">
        <v>0.31478930817610001</v>
      </c>
      <c r="M298">
        <v>1</v>
      </c>
      <c r="N298">
        <v>100.10299999999999</v>
      </c>
      <c r="O298" t="s">
        <v>20</v>
      </c>
      <c r="P298">
        <v>50</v>
      </c>
    </row>
    <row r="299" spans="1:16" x14ac:dyDescent="0.2">
      <c r="A299" t="s">
        <v>371</v>
      </c>
      <c r="B299" t="str" cm="1">
        <f t="array" ref="B299">INDEX(_xlfn.TEXTSPLIT(A299," - "),2)</f>
        <v>ebony</v>
      </c>
      <c r="C299" t="s">
        <v>23</v>
      </c>
      <c r="D299" t="s">
        <v>24</v>
      </c>
      <c r="E299">
        <v>7726602</v>
      </c>
      <c r="F299" t="s">
        <v>18</v>
      </c>
      <c r="G299">
        <v>0</v>
      </c>
      <c r="H299">
        <v>496</v>
      </c>
      <c r="I299">
        <v>1</v>
      </c>
      <c r="J299">
        <v>226.51599999999999</v>
      </c>
      <c r="K299">
        <v>0.21896907944692601</v>
      </c>
      <c r="L299">
        <v>0.45668548387096702</v>
      </c>
      <c r="M299">
        <v>1</v>
      </c>
      <c r="N299">
        <v>226.51599999999999</v>
      </c>
      <c r="O299" t="s">
        <v>20</v>
      </c>
      <c r="P299" t="s">
        <v>21</v>
      </c>
    </row>
    <row r="300" spans="1:16" x14ac:dyDescent="0.2">
      <c r="A300" t="s">
        <v>375</v>
      </c>
      <c r="B300" t="str" cm="1">
        <f t="array" ref="B300">INDEX(_xlfn.TEXTSPLIT(A300," - "),2)</f>
        <v>stepmom</v>
      </c>
      <c r="C300" t="s">
        <v>23</v>
      </c>
      <c r="D300" t="s">
        <v>24</v>
      </c>
      <c r="E300">
        <v>7726470</v>
      </c>
      <c r="F300" t="s">
        <v>18</v>
      </c>
      <c r="G300">
        <v>0</v>
      </c>
      <c r="H300">
        <v>309</v>
      </c>
      <c r="I300">
        <v>1</v>
      </c>
      <c r="J300">
        <v>100.021</v>
      </c>
      <c r="K300">
        <v>0.30893512362403802</v>
      </c>
      <c r="L300">
        <v>0.32369255663430402</v>
      </c>
      <c r="M300">
        <v>1</v>
      </c>
      <c r="N300">
        <v>100.021</v>
      </c>
      <c r="O300" t="s">
        <v>20</v>
      </c>
      <c r="P300">
        <v>50</v>
      </c>
    </row>
    <row r="301" spans="1:16" x14ac:dyDescent="0.2">
      <c r="A301" t="s">
        <v>381</v>
      </c>
      <c r="B301" t="str" cm="1">
        <f t="array" ref="B301">INDEX(_xlfn.TEXTSPLIT(A301," - "),2)</f>
        <v>Category: Transexual/Shemale</v>
      </c>
      <c r="C301" t="s">
        <v>382</v>
      </c>
      <c r="D301" t="s">
        <v>17</v>
      </c>
      <c r="E301">
        <v>7720222</v>
      </c>
      <c r="F301" t="s">
        <v>18</v>
      </c>
      <c r="G301">
        <v>0</v>
      </c>
      <c r="H301">
        <v>36</v>
      </c>
      <c r="I301">
        <v>1</v>
      </c>
      <c r="J301">
        <v>19.933</v>
      </c>
      <c r="K301">
        <v>0.180605026839913</v>
      </c>
      <c r="L301">
        <v>0.55369444444444404</v>
      </c>
      <c r="M301">
        <v>1</v>
      </c>
      <c r="N301">
        <v>19.933</v>
      </c>
      <c r="O301" t="s">
        <v>20</v>
      </c>
      <c r="P301">
        <v>200</v>
      </c>
    </row>
    <row r="302" spans="1:16" x14ac:dyDescent="0.2">
      <c r="A302" t="s">
        <v>386</v>
      </c>
      <c r="B302" t="str" cm="1">
        <f t="array" ref="B302">INDEX(_xlfn.TEXTSPLIT(A302," - "),2)</f>
        <v>JOI</v>
      </c>
      <c r="C302" t="s">
        <v>23</v>
      </c>
      <c r="D302" t="s">
        <v>24</v>
      </c>
      <c r="E302">
        <v>7718226</v>
      </c>
      <c r="F302" t="s">
        <v>18</v>
      </c>
      <c r="G302">
        <v>0</v>
      </c>
      <c r="H302">
        <v>573</v>
      </c>
      <c r="I302">
        <v>1</v>
      </c>
      <c r="J302">
        <v>145.34100000000001</v>
      </c>
      <c r="K302">
        <v>0.39424525770429503</v>
      </c>
      <c r="L302">
        <v>0.25364921465968499</v>
      </c>
      <c r="M302">
        <v>1</v>
      </c>
      <c r="N302">
        <v>145.34100000000001</v>
      </c>
      <c r="O302" t="s">
        <v>20</v>
      </c>
      <c r="P302">
        <v>200</v>
      </c>
    </row>
    <row r="303" spans="1:16" x14ac:dyDescent="0.2">
      <c r="A303" t="s">
        <v>393</v>
      </c>
      <c r="B303" t="str" cm="1">
        <f t="array" ref="B303">INDEX(_xlfn.TEXTSPLIT(A303," - "),2)</f>
        <v>Cowgirl</v>
      </c>
      <c r="C303" t="s">
        <v>23</v>
      </c>
      <c r="D303" t="s">
        <v>24</v>
      </c>
      <c r="E303">
        <v>7718132</v>
      </c>
      <c r="F303" t="s">
        <v>18</v>
      </c>
      <c r="G303">
        <v>0</v>
      </c>
      <c r="H303">
        <v>547</v>
      </c>
      <c r="I303">
        <v>1</v>
      </c>
      <c r="J303">
        <v>200.798</v>
      </c>
      <c r="K303">
        <v>0.27241307184334501</v>
      </c>
      <c r="L303">
        <v>0.36708957952468002</v>
      </c>
      <c r="M303">
        <v>1</v>
      </c>
      <c r="N303">
        <v>200.798</v>
      </c>
      <c r="O303" t="s">
        <v>20</v>
      </c>
      <c r="P303">
        <v>200</v>
      </c>
    </row>
    <row r="304" spans="1:16" x14ac:dyDescent="0.2">
      <c r="A304" t="s">
        <v>397</v>
      </c>
      <c r="B304" t="str" cm="1">
        <f t="array" ref="B304">INDEX(_xlfn.TEXTSPLIT(A304," - "),2)</f>
        <v>Category: Transexual/Shemale</v>
      </c>
      <c r="C304" t="s">
        <v>382</v>
      </c>
      <c r="D304" t="s">
        <v>17</v>
      </c>
      <c r="E304">
        <v>7718090</v>
      </c>
      <c r="F304" t="s">
        <v>18</v>
      </c>
      <c r="G304">
        <v>0</v>
      </c>
      <c r="H304">
        <v>26</v>
      </c>
      <c r="I304">
        <v>1</v>
      </c>
      <c r="J304">
        <v>8.2430000000000003</v>
      </c>
      <c r="K304">
        <v>0.31541914351570999</v>
      </c>
      <c r="L304">
        <v>0.31703846153846099</v>
      </c>
      <c r="M304">
        <v>1</v>
      </c>
      <c r="N304">
        <v>8.2430000000000003</v>
      </c>
      <c r="O304" t="s">
        <v>20</v>
      </c>
      <c r="P304">
        <v>200</v>
      </c>
    </row>
    <row r="305" spans="1:16" x14ac:dyDescent="0.2">
      <c r="A305" t="s">
        <v>398</v>
      </c>
      <c r="B305" t="str" cm="1">
        <f t="array" ref="B305">INDEX(_xlfn.TEXTSPLIT(A305," - "),2)</f>
        <v>Category: Teens (18+)</v>
      </c>
      <c r="C305" t="s">
        <v>23</v>
      </c>
      <c r="D305" t="s">
        <v>24</v>
      </c>
      <c r="E305">
        <v>7718078</v>
      </c>
      <c r="F305" t="s">
        <v>18</v>
      </c>
      <c r="G305">
        <v>0</v>
      </c>
      <c r="H305">
        <v>834</v>
      </c>
      <c r="I305">
        <v>1</v>
      </c>
      <c r="J305">
        <v>294.029</v>
      </c>
      <c r="K305">
        <v>0.283645490750912</v>
      </c>
      <c r="L305">
        <v>0.35255275779376499</v>
      </c>
      <c r="M305">
        <v>1</v>
      </c>
      <c r="N305">
        <v>294.029</v>
      </c>
      <c r="O305" t="s">
        <v>20</v>
      </c>
      <c r="P305" t="s">
        <v>21</v>
      </c>
    </row>
    <row r="306" spans="1:16" x14ac:dyDescent="0.2">
      <c r="A306" t="s">
        <v>415</v>
      </c>
      <c r="B306" t="str" cm="1">
        <f t="array" ref="B306">INDEX(_xlfn.TEXTSPLIT(A306," - "),2)</f>
        <v>Category: Cartoons/Hentai</v>
      </c>
      <c r="C306" t="s">
        <v>42</v>
      </c>
      <c r="D306" t="s">
        <v>17</v>
      </c>
      <c r="E306">
        <v>7717892</v>
      </c>
      <c r="F306" t="s">
        <v>18</v>
      </c>
      <c r="G306">
        <v>0</v>
      </c>
      <c r="H306">
        <v>212</v>
      </c>
      <c r="I306">
        <v>0.289009031260337</v>
      </c>
      <c r="J306">
        <v>17.47348603</v>
      </c>
      <c r="K306">
        <v>0.35064505458154099</v>
      </c>
      <c r="L306">
        <v>8.2422103915094302E-2</v>
      </c>
      <c r="M306">
        <v>1</v>
      </c>
      <c r="N306">
        <v>17.47348603</v>
      </c>
      <c r="O306" t="s">
        <v>20</v>
      </c>
      <c r="P306">
        <v>200</v>
      </c>
    </row>
    <row r="307" spans="1:16" x14ac:dyDescent="0.2">
      <c r="A307" t="s">
        <v>439</v>
      </c>
      <c r="B307" t="str" cm="1">
        <f t="array" ref="B307">INDEX(_xlfn.TEXTSPLIT(A307," - "),2)</f>
        <v>Category: Cartoons/Hentai</v>
      </c>
      <c r="C307" t="s">
        <v>42</v>
      </c>
      <c r="D307" t="s">
        <v>17</v>
      </c>
      <c r="E307">
        <v>7717822</v>
      </c>
      <c r="F307" t="s">
        <v>18</v>
      </c>
      <c r="G307">
        <v>0</v>
      </c>
      <c r="H307">
        <v>152</v>
      </c>
      <c r="I307">
        <v>1.16024214061645</v>
      </c>
      <c r="J307">
        <v>120.94480098</v>
      </c>
      <c r="K307">
        <v>0.145815945741119</v>
      </c>
      <c r="L307">
        <v>0.79568948013157803</v>
      </c>
      <c r="M307">
        <v>1</v>
      </c>
      <c r="N307">
        <v>120.94480098</v>
      </c>
      <c r="O307" t="s">
        <v>20</v>
      </c>
      <c r="P307">
        <v>200</v>
      </c>
    </row>
    <row r="308" spans="1:16" x14ac:dyDescent="0.2">
      <c r="A308" t="s">
        <v>443</v>
      </c>
      <c r="B308" t="str" cm="1">
        <f t="array" ref="B308">INDEX(_xlfn.TEXTSPLIT(A308," - "),2)</f>
        <v>Category: Cartoons/Hentai</v>
      </c>
      <c r="C308" t="s">
        <v>23</v>
      </c>
      <c r="D308" t="s">
        <v>24</v>
      </c>
      <c r="E308">
        <v>7717814</v>
      </c>
      <c r="F308" t="s">
        <v>18</v>
      </c>
      <c r="G308">
        <v>0</v>
      </c>
      <c r="H308">
        <v>655</v>
      </c>
      <c r="I308">
        <v>1.0776684228520099</v>
      </c>
      <c r="J308">
        <v>173.05307300999999</v>
      </c>
      <c r="K308">
        <v>0.40789383550980501</v>
      </c>
      <c r="L308">
        <v>0.26420316490076301</v>
      </c>
      <c r="M308">
        <v>1</v>
      </c>
      <c r="N308">
        <v>173.05307300999999</v>
      </c>
      <c r="O308" t="s">
        <v>20</v>
      </c>
      <c r="P308">
        <v>200</v>
      </c>
    </row>
    <row r="309" spans="1:16" x14ac:dyDescent="0.2">
      <c r="A309" t="s">
        <v>50</v>
      </c>
      <c r="B309" t="str" cm="1">
        <f t="array" ref="B309">INDEX(_xlfn.TEXTSPLIT(A309," - "),2)</f>
        <v>squirt</v>
      </c>
      <c r="C309" t="s">
        <v>23</v>
      </c>
      <c r="D309" t="s">
        <v>24</v>
      </c>
      <c r="E309">
        <v>7791392</v>
      </c>
      <c r="F309" t="s">
        <v>18</v>
      </c>
      <c r="G309">
        <v>0</v>
      </c>
      <c r="H309">
        <v>805</v>
      </c>
      <c r="I309">
        <v>1</v>
      </c>
      <c r="J309">
        <v>315.24900000000002</v>
      </c>
      <c r="K309">
        <v>0.25535370453197298</v>
      </c>
      <c r="L309">
        <v>0.391613664596273</v>
      </c>
      <c r="M309">
        <v>2</v>
      </c>
      <c r="N309">
        <v>157.62450000000001</v>
      </c>
      <c r="O309" t="s">
        <v>20</v>
      </c>
      <c r="P309" t="s">
        <v>21</v>
      </c>
    </row>
    <row r="310" spans="1:16" x14ac:dyDescent="0.2">
      <c r="A310" t="s">
        <v>62</v>
      </c>
      <c r="B310" t="str" cm="1">
        <f t="array" ref="B310">INDEX(_xlfn.TEXTSPLIT(A310," - "),2)</f>
        <v>Category: Asian</v>
      </c>
      <c r="C310" t="s">
        <v>23</v>
      </c>
      <c r="D310" t="s">
        <v>24</v>
      </c>
      <c r="E310">
        <v>7791236</v>
      </c>
      <c r="F310" t="s">
        <v>18</v>
      </c>
      <c r="G310">
        <v>0</v>
      </c>
      <c r="H310">
        <v>1797</v>
      </c>
      <c r="I310">
        <v>0.532736914433109</v>
      </c>
      <c r="J310">
        <v>381.88233510999999</v>
      </c>
      <c r="K310">
        <v>0.25068670300251999</v>
      </c>
      <c r="L310">
        <v>0.212511037902058</v>
      </c>
      <c r="M310">
        <v>2</v>
      </c>
      <c r="N310">
        <v>190.94116755499999</v>
      </c>
      <c r="O310" t="s">
        <v>20</v>
      </c>
      <c r="P310" t="s">
        <v>21</v>
      </c>
    </row>
    <row r="311" spans="1:16" x14ac:dyDescent="0.2">
      <c r="A311" t="s">
        <v>100</v>
      </c>
      <c r="B311" t="str" cm="1">
        <f t="array" ref="B311">INDEX(_xlfn.TEXTSPLIT(A311," - "),2)</f>
        <v>Handjob</v>
      </c>
      <c r="C311" t="s">
        <v>33</v>
      </c>
      <c r="D311" t="s">
        <v>17</v>
      </c>
      <c r="E311">
        <v>7790634</v>
      </c>
      <c r="F311" t="s">
        <v>18</v>
      </c>
      <c r="G311">
        <v>0</v>
      </c>
      <c r="H311">
        <v>142</v>
      </c>
      <c r="I311">
        <v>1</v>
      </c>
      <c r="J311">
        <v>64.709000000000003</v>
      </c>
      <c r="K311">
        <v>0.219443972244973</v>
      </c>
      <c r="L311">
        <v>0.45569718309859097</v>
      </c>
      <c r="M311">
        <v>2</v>
      </c>
      <c r="N311">
        <v>32.354500000000002</v>
      </c>
      <c r="O311" t="s">
        <v>20</v>
      </c>
      <c r="P311" t="s">
        <v>21</v>
      </c>
    </row>
    <row r="312" spans="1:16" x14ac:dyDescent="0.2">
      <c r="A312" t="s">
        <v>106</v>
      </c>
      <c r="B312" t="str" cm="1">
        <f t="array" ref="B312">INDEX(_xlfn.TEXTSPLIT(A312," - "),2)</f>
        <v>roleplay</v>
      </c>
      <c r="C312" t="s">
        <v>33</v>
      </c>
      <c r="D312" t="s">
        <v>17</v>
      </c>
      <c r="E312">
        <v>7790512</v>
      </c>
      <c r="F312" t="s">
        <v>18</v>
      </c>
      <c r="G312">
        <v>0</v>
      </c>
      <c r="H312">
        <v>752</v>
      </c>
      <c r="I312">
        <v>1</v>
      </c>
      <c r="J312">
        <v>204.108</v>
      </c>
      <c r="K312">
        <v>0.36843239853410897</v>
      </c>
      <c r="L312">
        <v>0.27142021276595701</v>
      </c>
      <c r="M312">
        <v>2</v>
      </c>
      <c r="N312">
        <v>102.054</v>
      </c>
      <c r="O312" t="s">
        <v>20</v>
      </c>
      <c r="P312" t="s">
        <v>21</v>
      </c>
    </row>
    <row r="313" spans="1:16" x14ac:dyDescent="0.2">
      <c r="A313" t="s">
        <v>137</v>
      </c>
      <c r="B313" t="str" cm="1">
        <f t="array" ref="B313">INDEX(_xlfn.TEXTSPLIT(A313," - "),2)</f>
        <v>bbc</v>
      </c>
      <c r="C313" t="s">
        <v>23</v>
      </c>
      <c r="D313" t="s">
        <v>24</v>
      </c>
      <c r="E313">
        <v>7790236</v>
      </c>
      <c r="F313" t="s">
        <v>18</v>
      </c>
      <c r="G313">
        <v>0</v>
      </c>
      <c r="H313">
        <v>1521</v>
      </c>
      <c r="I313">
        <v>0.56398824800438496</v>
      </c>
      <c r="J313">
        <v>329.24505942000002</v>
      </c>
      <c r="K313">
        <v>0.26054335537359902</v>
      </c>
      <c r="L313">
        <v>0.216466179763313</v>
      </c>
      <c r="M313">
        <v>2</v>
      </c>
      <c r="N313">
        <v>164.62252971000001</v>
      </c>
      <c r="O313" t="s">
        <v>20</v>
      </c>
      <c r="P313" t="s">
        <v>21</v>
      </c>
    </row>
    <row r="314" spans="1:16" x14ac:dyDescent="0.2">
      <c r="A314" t="s">
        <v>139</v>
      </c>
      <c r="B314" t="str" cm="1">
        <f t="array" ref="B314">INDEX(_xlfn.TEXTSPLIT(A314," - "),2)</f>
        <v>bbc</v>
      </c>
      <c r="C314" t="s">
        <v>33</v>
      </c>
      <c r="D314" t="s">
        <v>17</v>
      </c>
      <c r="E314">
        <v>7790212</v>
      </c>
      <c r="F314" t="s">
        <v>18</v>
      </c>
      <c r="G314">
        <v>0</v>
      </c>
      <c r="H314">
        <v>188</v>
      </c>
      <c r="I314">
        <v>1</v>
      </c>
      <c r="J314">
        <v>108.545</v>
      </c>
      <c r="K314">
        <v>0.173200055276613</v>
      </c>
      <c r="L314">
        <v>0.577367021276595</v>
      </c>
      <c r="M314">
        <v>2</v>
      </c>
      <c r="N314">
        <v>54.272500000000001</v>
      </c>
      <c r="O314" t="s">
        <v>20</v>
      </c>
      <c r="P314" t="s">
        <v>21</v>
      </c>
    </row>
    <row r="315" spans="1:16" x14ac:dyDescent="0.2">
      <c r="A315" t="s">
        <v>147</v>
      </c>
      <c r="B315" t="str" cm="1">
        <f t="array" ref="B315">INDEX(_xlfn.TEXTSPLIT(A315," - "),2)</f>
        <v>creampie</v>
      </c>
      <c r="C315" t="s">
        <v>23</v>
      </c>
      <c r="D315" t="s">
        <v>24</v>
      </c>
      <c r="E315">
        <v>7790182</v>
      </c>
      <c r="F315" t="s">
        <v>18</v>
      </c>
      <c r="G315">
        <v>0</v>
      </c>
      <c r="H315">
        <v>7630</v>
      </c>
      <c r="I315">
        <v>0.68100638114338197</v>
      </c>
      <c r="J315">
        <v>736.18219914999997</v>
      </c>
      <c r="K315">
        <v>0.70581422562558904</v>
      </c>
      <c r="L315">
        <v>9.6485216140235905E-2</v>
      </c>
      <c r="M315">
        <v>2</v>
      </c>
      <c r="N315">
        <v>368.09109957499999</v>
      </c>
      <c r="O315" t="s">
        <v>20</v>
      </c>
      <c r="P315" t="s">
        <v>21</v>
      </c>
    </row>
    <row r="316" spans="1:16" x14ac:dyDescent="0.2">
      <c r="A316" t="s">
        <v>148</v>
      </c>
      <c r="B316" t="str" cm="1">
        <f t="array" ref="B316">INDEX(_xlfn.TEXTSPLIT(A316," - "),2)</f>
        <v>creampie</v>
      </c>
      <c r="C316" t="s">
        <v>33</v>
      </c>
      <c r="D316" t="s">
        <v>17</v>
      </c>
      <c r="E316">
        <v>7790178</v>
      </c>
      <c r="F316" t="s">
        <v>18</v>
      </c>
      <c r="G316">
        <v>0</v>
      </c>
      <c r="H316">
        <v>962</v>
      </c>
      <c r="I316">
        <v>0.45516612015484698</v>
      </c>
      <c r="J316">
        <v>101.46972799999899</v>
      </c>
      <c r="K316">
        <v>0.43152752670132599</v>
      </c>
      <c r="L316">
        <v>0.105477887733887</v>
      </c>
      <c r="M316">
        <v>2</v>
      </c>
      <c r="N316">
        <v>50.734863999999902</v>
      </c>
      <c r="O316" t="s">
        <v>20</v>
      </c>
      <c r="P316" t="s">
        <v>21</v>
      </c>
    </row>
    <row r="317" spans="1:16" x14ac:dyDescent="0.2">
      <c r="A317" t="s">
        <v>157</v>
      </c>
      <c r="B317" t="str" cm="1">
        <f t="array" ref="B317">INDEX(_xlfn.TEXTSPLIT(A317," - "),2)</f>
        <v>creampie</v>
      </c>
      <c r="C317" t="s">
        <v>23</v>
      </c>
      <c r="D317" t="s">
        <v>24</v>
      </c>
      <c r="E317">
        <v>7790144</v>
      </c>
      <c r="F317" t="s">
        <v>18</v>
      </c>
      <c r="G317">
        <v>0</v>
      </c>
      <c r="H317">
        <v>1607</v>
      </c>
      <c r="I317">
        <v>1</v>
      </c>
      <c r="J317">
        <v>264.21699999999998</v>
      </c>
      <c r="K317">
        <v>0.60821218922325204</v>
      </c>
      <c r="L317">
        <v>0.164416303671437</v>
      </c>
      <c r="M317">
        <v>2</v>
      </c>
      <c r="N317">
        <v>132.10849999999999</v>
      </c>
      <c r="O317" t="s">
        <v>20</v>
      </c>
      <c r="P317" t="s">
        <v>21</v>
      </c>
    </row>
    <row r="318" spans="1:16" x14ac:dyDescent="0.2">
      <c r="A318" t="s">
        <v>158</v>
      </c>
      <c r="B318" t="str" cm="1">
        <f t="array" ref="B318">INDEX(_xlfn.TEXTSPLIT(A318," - "),2)</f>
        <v>creampie</v>
      </c>
      <c r="C318" t="s">
        <v>33</v>
      </c>
      <c r="D318" t="s">
        <v>17</v>
      </c>
      <c r="E318">
        <v>7790138</v>
      </c>
      <c r="F318" t="s">
        <v>18</v>
      </c>
      <c r="G318">
        <v>0</v>
      </c>
      <c r="H318">
        <v>175</v>
      </c>
      <c r="I318">
        <v>1</v>
      </c>
      <c r="J318">
        <v>79.876000000000005</v>
      </c>
      <c r="K318">
        <v>0.21908958886273699</v>
      </c>
      <c r="L318">
        <v>0.45643428571428502</v>
      </c>
      <c r="M318">
        <v>2</v>
      </c>
      <c r="N318">
        <v>39.938000000000002</v>
      </c>
      <c r="O318" t="s">
        <v>20</v>
      </c>
      <c r="P318" t="s">
        <v>21</v>
      </c>
    </row>
    <row r="319" spans="1:16" x14ac:dyDescent="0.2">
      <c r="A319" t="s">
        <v>165</v>
      </c>
      <c r="B319" t="str" cm="1">
        <f t="array" ref="B319">INDEX(_xlfn.TEXTSPLIT(A319," - "),2)</f>
        <v>edging</v>
      </c>
      <c r="C319" t="s">
        <v>23</v>
      </c>
      <c r="D319" t="s">
        <v>24</v>
      </c>
      <c r="E319">
        <v>7790070</v>
      </c>
      <c r="F319" t="s">
        <v>18</v>
      </c>
      <c r="G319">
        <v>0</v>
      </c>
      <c r="H319">
        <v>432</v>
      </c>
      <c r="I319">
        <v>1.79634376916662</v>
      </c>
      <c r="J319">
        <v>183.11030210999999</v>
      </c>
      <c r="K319">
        <v>0.42379948006082302</v>
      </c>
      <c r="L319">
        <v>0.42386644006944402</v>
      </c>
      <c r="M319">
        <v>2</v>
      </c>
      <c r="N319">
        <v>91.555151054999996</v>
      </c>
      <c r="O319" t="s">
        <v>20</v>
      </c>
      <c r="P319" t="s">
        <v>21</v>
      </c>
    </row>
    <row r="320" spans="1:16" x14ac:dyDescent="0.2">
      <c r="A320" t="s">
        <v>178</v>
      </c>
      <c r="B320" t="str" cm="1">
        <f t="array" ref="B320">INDEX(_xlfn.TEXTSPLIT(A320," - "),2)</f>
        <v>stepsister</v>
      </c>
      <c r="C320" t="s">
        <v>23</v>
      </c>
      <c r="D320" t="s">
        <v>24</v>
      </c>
      <c r="E320">
        <v>7762910</v>
      </c>
      <c r="F320" t="s">
        <v>18</v>
      </c>
      <c r="G320">
        <v>0</v>
      </c>
      <c r="H320">
        <v>2883</v>
      </c>
      <c r="I320">
        <v>1</v>
      </c>
      <c r="J320">
        <v>472.221</v>
      </c>
      <c r="K320">
        <v>0.61051922722623497</v>
      </c>
      <c r="L320">
        <v>0.16379500520291301</v>
      </c>
      <c r="M320">
        <v>2</v>
      </c>
      <c r="N320">
        <v>236.1105</v>
      </c>
      <c r="O320" t="s">
        <v>20</v>
      </c>
      <c r="P320" t="s">
        <v>21</v>
      </c>
    </row>
    <row r="321" spans="1:16" x14ac:dyDescent="0.2">
      <c r="A321" t="s">
        <v>197</v>
      </c>
      <c r="B321" t="str" cm="1">
        <f t="array" ref="B321">INDEX(_xlfn.TEXTSPLIT(A321," - "),2)</f>
        <v>pov</v>
      </c>
      <c r="C321" t="s">
        <v>33</v>
      </c>
      <c r="D321" t="s">
        <v>17</v>
      </c>
      <c r="E321">
        <v>7762842</v>
      </c>
      <c r="F321" t="s">
        <v>18</v>
      </c>
      <c r="G321">
        <v>0</v>
      </c>
      <c r="H321">
        <v>178</v>
      </c>
      <c r="I321">
        <v>1</v>
      </c>
      <c r="J321">
        <v>57.018999999999998</v>
      </c>
      <c r="K321">
        <v>0.312176642873428</v>
      </c>
      <c r="L321">
        <v>0.32033146067415702</v>
      </c>
      <c r="M321">
        <v>2</v>
      </c>
      <c r="N321">
        <v>28.509499999999999</v>
      </c>
      <c r="O321" t="s">
        <v>20</v>
      </c>
      <c r="P321" t="s">
        <v>21</v>
      </c>
    </row>
    <row r="322" spans="1:16" x14ac:dyDescent="0.2">
      <c r="A322" t="s">
        <v>204</v>
      </c>
      <c r="B322" t="str" cm="1">
        <f t="array" ref="B322">INDEX(_xlfn.TEXTSPLIT(A322," - "),2)</f>
        <v>threesome</v>
      </c>
      <c r="C322" t="s">
        <v>23</v>
      </c>
      <c r="D322" t="s">
        <v>24</v>
      </c>
      <c r="E322">
        <v>7762816</v>
      </c>
      <c r="F322" t="s">
        <v>18</v>
      </c>
      <c r="G322">
        <v>0</v>
      </c>
      <c r="H322">
        <v>1658</v>
      </c>
      <c r="I322">
        <v>0.415903285270668</v>
      </c>
      <c r="J322">
        <v>144.9148453</v>
      </c>
      <c r="K322">
        <v>0.47584334479413598</v>
      </c>
      <c r="L322">
        <v>8.7403404885404101E-2</v>
      </c>
      <c r="M322">
        <v>2</v>
      </c>
      <c r="N322">
        <v>72.457422649999998</v>
      </c>
      <c r="O322" t="s">
        <v>20</v>
      </c>
      <c r="P322" t="s">
        <v>21</v>
      </c>
    </row>
    <row r="323" spans="1:16" x14ac:dyDescent="0.2">
      <c r="A323" t="s">
        <v>228</v>
      </c>
      <c r="B323" t="str" cm="1">
        <f t="array" ref="B323">INDEX(_xlfn.TEXTSPLIT(A323," - "),2)</f>
        <v>Category: Latina</v>
      </c>
      <c r="C323" t="s">
        <v>23</v>
      </c>
      <c r="D323" t="s">
        <v>24</v>
      </c>
      <c r="E323">
        <v>7762296</v>
      </c>
      <c r="F323" t="s">
        <v>18</v>
      </c>
      <c r="G323">
        <v>0</v>
      </c>
      <c r="H323">
        <v>1056</v>
      </c>
      <c r="I323">
        <v>1</v>
      </c>
      <c r="J323">
        <v>173.42099999999999</v>
      </c>
      <c r="K323">
        <v>0.60892279481723599</v>
      </c>
      <c r="L323">
        <v>0.164224431818181</v>
      </c>
      <c r="M323">
        <v>2</v>
      </c>
      <c r="N323">
        <v>86.710499999999996</v>
      </c>
      <c r="O323" t="s">
        <v>20</v>
      </c>
      <c r="P323" t="s">
        <v>21</v>
      </c>
    </row>
    <row r="324" spans="1:16" x14ac:dyDescent="0.2">
      <c r="A324" t="s">
        <v>235</v>
      </c>
      <c r="B324" t="str" cm="1">
        <f t="array" ref="B324">INDEX(_xlfn.TEXTSPLIT(A324," - "),2)</f>
        <v>Category: Latina</v>
      </c>
      <c r="C324" t="s">
        <v>23</v>
      </c>
      <c r="D324" t="s">
        <v>24</v>
      </c>
      <c r="E324">
        <v>7762276</v>
      </c>
      <c r="F324" t="s">
        <v>18</v>
      </c>
      <c r="G324">
        <v>0</v>
      </c>
      <c r="H324">
        <v>522</v>
      </c>
      <c r="I324">
        <v>1</v>
      </c>
      <c r="J324">
        <v>208.834</v>
      </c>
      <c r="K324">
        <v>0.24995929781548901</v>
      </c>
      <c r="L324">
        <v>0.40006513409961603</v>
      </c>
      <c r="M324">
        <v>2</v>
      </c>
      <c r="N324">
        <v>104.417</v>
      </c>
      <c r="O324" t="s">
        <v>20</v>
      </c>
      <c r="P324" t="s">
        <v>21</v>
      </c>
    </row>
    <row r="325" spans="1:16" x14ac:dyDescent="0.2">
      <c r="A325" t="s">
        <v>237</v>
      </c>
      <c r="B325" t="str" cm="1">
        <f t="array" ref="B325">INDEX(_xlfn.TEXTSPLIT(A325," - "),2)</f>
        <v>Gay</v>
      </c>
      <c r="C325" t="s">
        <v>16</v>
      </c>
      <c r="D325" t="s">
        <v>17</v>
      </c>
      <c r="E325">
        <v>7757666</v>
      </c>
      <c r="F325" t="s">
        <v>18</v>
      </c>
      <c r="G325">
        <v>0</v>
      </c>
      <c r="H325">
        <v>2837</v>
      </c>
      <c r="I325">
        <v>0.53443647595453603</v>
      </c>
      <c r="J325">
        <v>164.38410901999899</v>
      </c>
      <c r="K325">
        <v>0.92234966708281296</v>
      </c>
      <c r="L325">
        <v>5.7942935854776098E-2</v>
      </c>
      <c r="M325">
        <v>2</v>
      </c>
      <c r="N325">
        <v>82.192054509999906</v>
      </c>
      <c r="O325" t="s">
        <v>20</v>
      </c>
      <c r="P325" t="s">
        <v>21</v>
      </c>
    </row>
    <row r="326" spans="1:16" x14ac:dyDescent="0.2">
      <c r="A326" t="s">
        <v>238</v>
      </c>
      <c r="B326" t="str" cm="1">
        <f t="array" ref="B326">INDEX(_xlfn.TEXTSPLIT(A326," - "),2)</f>
        <v>Gay</v>
      </c>
      <c r="C326" t="s">
        <v>23</v>
      </c>
      <c r="D326" t="s">
        <v>24</v>
      </c>
      <c r="E326">
        <v>7757664</v>
      </c>
      <c r="F326" t="s">
        <v>18</v>
      </c>
      <c r="G326">
        <v>0</v>
      </c>
      <c r="H326">
        <v>6806</v>
      </c>
      <c r="I326">
        <v>0.61563157300540094</v>
      </c>
      <c r="J326">
        <v>183.27598180999999</v>
      </c>
      <c r="K326">
        <v>2.2861634375083901</v>
      </c>
      <c r="L326">
        <v>2.6928589745812501E-2</v>
      </c>
      <c r="M326">
        <v>2</v>
      </c>
      <c r="N326">
        <v>91.637990904999995</v>
      </c>
      <c r="O326" t="s">
        <v>20</v>
      </c>
      <c r="P326" t="s">
        <v>21</v>
      </c>
    </row>
    <row r="327" spans="1:16" x14ac:dyDescent="0.2">
      <c r="A327" t="s">
        <v>240</v>
      </c>
      <c r="B327" t="str" cm="1">
        <f t="array" ref="B327">INDEX(_xlfn.TEXTSPLIT(A327," - "),2)</f>
        <v>Gay</v>
      </c>
      <c r="C327" t="s">
        <v>23</v>
      </c>
      <c r="D327" t="s">
        <v>24</v>
      </c>
      <c r="E327">
        <v>7757660</v>
      </c>
      <c r="F327" t="s">
        <v>18</v>
      </c>
      <c r="G327">
        <v>0</v>
      </c>
      <c r="H327">
        <v>3158</v>
      </c>
      <c r="I327">
        <v>0.86286286591273098</v>
      </c>
      <c r="J327">
        <v>177.24152415</v>
      </c>
      <c r="K327">
        <v>1.5374054943503499</v>
      </c>
      <c r="L327">
        <v>5.6124611827105701E-2</v>
      </c>
      <c r="M327">
        <v>2</v>
      </c>
      <c r="N327">
        <v>88.620762075000002</v>
      </c>
      <c r="O327" t="s">
        <v>20</v>
      </c>
      <c r="P327" t="s">
        <v>21</v>
      </c>
    </row>
    <row r="328" spans="1:16" x14ac:dyDescent="0.2">
      <c r="A328" t="s">
        <v>273</v>
      </c>
      <c r="B328" t="str" cm="1">
        <f t="array" ref="B328">INDEX(_xlfn.TEXTSPLIT(A328," - "),2)</f>
        <v>monster</v>
      </c>
      <c r="C328" t="s">
        <v>23</v>
      </c>
      <c r="D328" t="s">
        <v>24</v>
      </c>
      <c r="E328">
        <v>7729206</v>
      </c>
      <c r="F328" t="s">
        <v>18</v>
      </c>
      <c r="G328">
        <v>0</v>
      </c>
      <c r="H328">
        <v>269</v>
      </c>
      <c r="I328">
        <v>1</v>
      </c>
      <c r="J328">
        <v>123.149</v>
      </c>
      <c r="K328">
        <v>0.218434579249526</v>
      </c>
      <c r="L328">
        <v>0.45780297397769498</v>
      </c>
      <c r="M328">
        <v>2</v>
      </c>
      <c r="N328">
        <v>61.5745</v>
      </c>
      <c r="O328" t="s">
        <v>20</v>
      </c>
      <c r="P328" t="s">
        <v>21</v>
      </c>
    </row>
    <row r="329" spans="1:16" x14ac:dyDescent="0.2">
      <c r="A329" t="s">
        <v>318</v>
      </c>
      <c r="B329" t="str" cm="1">
        <f t="array" ref="B329">INDEX(_xlfn.TEXTSPLIT(A329," - "),2)</f>
        <v>fisting</v>
      </c>
      <c r="C329" t="s">
        <v>263</v>
      </c>
      <c r="D329" t="s">
        <v>17</v>
      </c>
      <c r="E329">
        <v>7727904</v>
      </c>
      <c r="F329" t="s">
        <v>18</v>
      </c>
      <c r="G329">
        <v>0</v>
      </c>
      <c r="H329">
        <v>239</v>
      </c>
      <c r="I329">
        <v>1</v>
      </c>
      <c r="J329">
        <v>109.378999999999</v>
      </c>
      <c r="K329">
        <v>0.21850629462693899</v>
      </c>
      <c r="L329">
        <v>0.45765271966527099</v>
      </c>
      <c r="M329">
        <v>2</v>
      </c>
      <c r="N329">
        <v>54.689499999999903</v>
      </c>
      <c r="O329" t="s">
        <v>20</v>
      </c>
      <c r="P329" t="s">
        <v>21</v>
      </c>
    </row>
    <row r="330" spans="1:16" x14ac:dyDescent="0.2">
      <c r="A330" t="s">
        <v>368</v>
      </c>
      <c r="B330" t="str" cm="1">
        <f t="array" ref="B330">INDEX(_xlfn.TEXTSPLIT(A330," - "),2)</f>
        <v>bbc</v>
      </c>
      <c r="C330" t="s">
        <v>23</v>
      </c>
      <c r="D330" t="s">
        <v>24</v>
      </c>
      <c r="E330">
        <v>7726690</v>
      </c>
      <c r="F330" t="s">
        <v>18</v>
      </c>
      <c r="G330">
        <v>0</v>
      </c>
      <c r="H330">
        <v>534</v>
      </c>
      <c r="I330">
        <v>1</v>
      </c>
      <c r="J330">
        <v>269.51499999999999</v>
      </c>
      <c r="K330">
        <v>0.198133684581563</v>
      </c>
      <c r="L330">
        <v>0.504709737827715</v>
      </c>
      <c r="M330">
        <v>2</v>
      </c>
      <c r="N330">
        <v>134.75749999999999</v>
      </c>
      <c r="O330" t="s">
        <v>20</v>
      </c>
      <c r="P330" t="s">
        <v>21</v>
      </c>
    </row>
    <row r="331" spans="1:16" x14ac:dyDescent="0.2">
      <c r="A331" t="s">
        <v>374</v>
      </c>
      <c r="B331" t="str" cm="1">
        <f t="array" ref="B331">INDEX(_xlfn.TEXTSPLIT(A331," - "),2)</f>
        <v>creampie</v>
      </c>
      <c r="C331" t="s">
        <v>23</v>
      </c>
      <c r="D331" t="s">
        <v>24</v>
      </c>
      <c r="E331">
        <v>7726492</v>
      </c>
      <c r="F331" t="s">
        <v>18</v>
      </c>
      <c r="G331">
        <v>0</v>
      </c>
      <c r="H331">
        <v>582</v>
      </c>
      <c r="I331">
        <v>1</v>
      </c>
      <c r="J331">
        <v>221.30099999999999</v>
      </c>
      <c r="K331">
        <v>0.26299022598180699</v>
      </c>
      <c r="L331">
        <v>0.38024226804123701</v>
      </c>
      <c r="M331">
        <v>2</v>
      </c>
      <c r="N331">
        <v>110.65049999999999</v>
      </c>
      <c r="O331" t="s">
        <v>20</v>
      </c>
      <c r="P331" t="s">
        <v>21</v>
      </c>
    </row>
    <row r="332" spans="1:16" x14ac:dyDescent="0.2">
      <c r="A332" t="s">
        <v>376</v>
      </c>
      <c r="B332" t="str" cm="1">
        <f t="array" ref="B332">INDEX(_xlfn.TEXTSPLIT(A332," - "),2)</f>
        <v>asian</v>
      </c>
      <c r="C332" t="s">
        <v>23</v>
      </c>
      <c r="D332" t="s">
        <v>24</v>
      </c>
      <c r="E332">
        <v>7726442</v>
      </c>
      <c r="F332" t="s">
        <v>18</v>
      </c>
      <c r="G332">
        <v>0</v>
      </c>
      <c r="H332">
        <v>510</v>
      </c>
      <c r="I332">
        <v>1</v>
      </c>
      <c r="J332">
        <v>190.79900000000001</v>
      </c>
      <c r="K332">
        <v>0.26729699841194099</v>
      </c>
      <c r="L332">
        <v>0.37411568627450897</v>
      </c>
      <c r="M332">
        <v>2</v>
      </c>
      <c r="N332">
        <v>95.399500000000003</v>
      </c>
      <c r="O332" t="s">
        <v>20</v>
      </c>
      <c r="P332" t="s">
        <v>21</v>
      </c>
    </row>
    <row r="333" spans="1:16" x14ac:dyDescent="0.2">
      <c r="A333" t="s">
        <v>396</v>
      </c>
      <c r="B333" t="str" cm="1">
        <f t="array" ref="B333">INDEX(_xlfn.TEXTSPLIT(A333," - "),2)</f>
        <v>Category: Voyeur</v>
      </c>
      <c r="C333" t="s">
        <v>263</v>
      </c>
      <c r="D333" t="s">
        <v>17</v>
      </c>
      <c r="E333">
        <v>7718102</v>
      </c>
      <c r="F333" t="s">
        <v>18</v>
      </c>
      <c r="G333">
        <v>0</v>
      </c>
      <c r="H333">
        <v>307</v>
      </c>
      <c r="I333">
        <v>1</v>
      </c>
      <c r="J333">
        <v>132.095</v>
      </c>
      <c r="K333">
        <v>0.23240849388697499</v>
      </c>
      <c r="L333">
        <v>0.430276872964169</v>
      </c>
      <c r="M333">
        <v>2</v>
      </c>
      <c r="N333">
        <v>66.047499999999999</v>
      </c>
      <c r="O333" t="s">
        <v>20</v>
      </c>
      <c r="P333" t="s">
        <v>21</v>
      </c>
    </row>
    <row r="334" spans="1:16" x14ac:dyDescent="0.2">
      <c r="A334" t="s">
        <v>402</v>
      </c>
      <c r="B334" t="str" cm="1">
        <f t="array" ref="B334">INDEX(_xlfn.TEXTSPLIT(A334," - "),2)</f>
        <v>Category: Ebony</v>
      </c>
      <c r="C334" t="s">
        <v>23</v>
      </c>
      <c r="D334" t="s">
        <v>24</v>
      </c>
      <c r="E334">
        <v>7718022</v>
      </c>
      <c r="F334" t="s">
        <v>18</v>
      </c>
      <c r="G334">
        <v>0</v>
      </c>
      <c r="H334">
        <v>425</v>
      </c>
      <c r="I334">
        <v>1</v>
      </c>
      <c r="J334">
        <v>171.482</v>
      </c>
      <c r="K334">
        <v>0.24783942337971299</v>
      </c>
      <c r="L334">
        <v>0.40348705882352898</v>
      </c>
      <c r="M334">
        <v>2</v>
      </c>
      <c r="N334">
        <v>85.741</v>
      </c>
      <c r="O334" t="s">
        <v>20</v>
      </c>
      <c r="P334" t="s">
        <v>21</v>
      </c>
    </row>
    <row r="335" spans="1:16" x14ac:dyDescent="0.2">
      <c r="A335" t="s">
        <v>403</v>
      </c>
      <c r="B335" t="str" cm="1">
        <f t="array" ref="B335">INDEX(_xlfn.TEXTSPLIT(A335," - "),2)</f>
        <v>Category: BDSM</v>
      </c>
      <c r="C335" t="s">
        <v>263</v>
      </c>
      <c r="D335" t="s">
        <v>17</v>
      </c>
      <c r="E335">
        <v>7718012</v>
      </c>
      <c r="F335" t="s">
        <v>18</v>
      </c>
      <c r="G335">
        <v>0</v>
      </c>
      <c r="H335">
        <v>346</v>
      </c>
      <c r="I335">
        <v>1</v>
      </c>
      <c r="J335">
        <v>163.41200000000001</v>
      </c>
      <c r="K335">
        <v>0.21173475632144501</v>
      </c>
      <c r="L335">
        <v>0.47228901734104001</v>
      </c>
      <c r="M335">
        <v>2</v>
      </c>
      <c r="N335">
        <v>81.706000000000003</v>
      </c>
      <c r="O335" t="s">
        <v>20</v>
      </c>
      <c r="P335">
        <v>200</v>
      </c>
    </row>
    <row r="336" spans="1:16" x14ac:dyDescent="0.2">
      <c r="A336" t="s">
        <v>417</v>
      </c>
      <c r="B336" t="str" cm="1">
        <f t="array" ref="B336">INDEX(_xlfn.TEXTSPLIT(A336," - "),2)</f>
        <v>Category: Cartoons/Hentai</v>
      </c>
      <c r="C336" t="s">
        <v>23</v>
      </c>
      <c r="D336" t="s">
        <v>24</v>
      </c>
      <c r="E336">
        <v>7717886</v>
      </c>
      <c r="F336" t="s">
        <v>18</v>
      </c>
      <c r="G336">
        <v>0</v>
      </c>
      <c r="H336">
        <v>1165</v>
      </c>
      <c r="I336">
        <v>1.2550925988569399</v>
      </c>
      <c r="J336">
        <v>200.05799497999999</v>
      </c>
      <c r="K336">
        <v>0.73087950212362796</v>
      </c>
      <c r="L336">
        <v>0.171723600841201</v>
      </c>
      <c r="M336">
        <v>2</v>
      </c>
      <c r="N336">
        <v>100.02899748999999</v>
      </c>
      <c r="O336" t="s">
        <v>20</v>
      </c>
      <c r="P336">
        <v>200</v>
      </c>
    </row>
    <row r="337" spans="1:16" x14ac:dyDescent="0.2">
      <c r="A337" t="s">
        <v>418</v>
      </c>
      <c r="B337" t="str" cm="1">
        <f t="array" ref="B337">INDEX(_xlfn.TEXTSPLIT(A337," - "),2)</f>
        <v>Category: Cartoons/Hentai</v>
      </c>
      <c r="C337" t="s">
        <v>42</v>
      </c>
      <c r="D337" t="s">
        <v>17</v>
      </c>
      <c r="E337">
        <v>7717884</v>
      </c>
      <c r="F337" t="s">
        <v>18</v>
      </c>
      <c r="G337">
        <v>0</v>
      </c>
      <c r="H337">
        <v>931</v>
      </c>
      <c r="I337">
        <v>1.0359341212014099</v>
      </c>
      <c r="J337">
        <v>134.92627554999899</v>
      </c>
      <c r="K337">
        <v>0.71480122230241205</v>
      </c>
      <c r="L337">
        <v>0.144926182116004</v>
      </c>
      <c r="M337">
        <v>2</v>
      </c>
      <c r="N337">
        <v>67.463137774999893</v>
      </c>
      <c r="O337" t="s">
        <v>20</v>
      </c>
      <c r="P337">
        <v>200</v>
      </c>
    </row>
    <row r="338" spans="1:16" x14ac:dyDescent="0.2">
      <c r="A338" t="s">
        <v>442</v>
      </c>
      <c r="B338" t="str" cm="1">
        <f t="array" ref="B338">INDEX(_xlfn.TEXTSPLIT(A338," - "),2)</f>
        <v>Category: Cartoons/Hentai</v>
      </c>
      <c r="C338" t="s">
        <v>42</v>
      </c>
      <c r="D338" t="s">
        <v>17</v>
      </c>
      <c r="E338">
        <v>7717816</v>
      </c>
      <c r="F338" t="s">
        <v>18</v>
      </c>
      <c r="G338">
        <v>0</v>
      </c>
      <c r="H338">
        <v>355</v>
      </c>
      <c r="I338">
        <v>0.52734564209127599</v>
      </c>
      <c r="J338">
        <v>74.610443480000001</v>
      </c>
      <c r="K338">
        <v>0.25091353731543697</v>
      </c>
      <c r="L338">
        <v>0.21017026332394301</v>
      </c>
      <c r="M338">
        <v>2</v>
      </c>
      <c r="N338">
        <v>37.30522174</v>
      </c>
      <c r="O338" t="s">
        <v>20</v>
      </c>
      <c r="P338">
        <v>200</v>
      </c>
    </row>
    <row r="339" spans="1:16" x14ac:dyDescent="0.2">
      <c r="A339" t="s">
        <v>456</v>
      </c>
      <c r="B339" t="str" cm="1">
        <f t="array" ref="B339">INDEX(_xlfn.TEXTSPLIT(A339," - "),2)</f>
        <v>85 %]</v>
      </c>
      <c r="C339" t="s">
        <v>23</v>
      </c>
      <c r="D339" t="s">
        <v>24</v>
      </c>
      <c r="E339">
        <v>7664862</v>
      </c>
      <c r="F339" t="s">
        <v>18</v>
      </c>
      <c r="G339">
        <v>0</v>
      </c>
      <c r="H339">
        <v>865</v>
      </c>
      <c r="I339">
        <v>2.6869999999999998</v>
      </c>
      <c r="J339">
        <v>342.66504900000001</v>
      </c>
      <c r="K339">
        <v>0.67828773514628204</v>
      </c>
      <c r="L339">
        <v>0.39614456531791897</v>
      </c>
      <c r="M339">
        <v>2</v>
      </c>
      <c r="N339">
        <v>171.33252450000001</v>
      </c>
      <c r="O339" t="s">
        <v>20</v>
      </c>
      <c r="P339">
        <v>176</v>
      </c>
    </row>
    <row r="340" spans="1:16" x14ac:dyDescent="0.2">
      <c r="A340" t="s">
        <v>32</v>
      </c>
      <c r="B340" t="str" cm="1">
        <f t="array" ref="B340">INDEX(_xlfn.TEXTSPLIT(A340," - "),2)</f>
        <v>bdsm</v>
      </c>
      <c r="C340" t="s">
        <v>33</v>
      </c>
      <c r="D340" t="s">
        <v>17</v>
      </c>
      <c r="E340">
        <v>7791678</v>
      </c>
      <c r="F340" t="s">
        <v>18</v>
      </c>
      <c r="G340">
        <v>0</v>
      </c>
      <c r="H340">
        <v>1202</v>
      </c>
      <c r="I340">
        <v>0.51102750427441801</v>
      </c>
      <c r="J340">
        <v>286.63277201</v>
      </c>
      <c r="K340">
        <v>0.214300359247274</v>
      </c>
      <c r="L340">
        <v>0.23846320466722101</v>
      </c>
      <c r="M340">
        <v>3</v>
      </c>
      <c r="N340">
        <v>95.544257336666604</v>
      </c>
      <c r="O340" t="s">
        <v>20</v>
      </c>
      <c r="P340" t="s">
        <v>21</v>
      </c>
    </row>
    <row r="341" spans="1:16" x14ac:dyDescent="0.2">
      <c r="A341" t="s">
        <v>58</v>
      </c>
      <c r="B341" t="str" cm="1">
        <f t="array" ref="B341">INDEX(_xlfn.TEXTSPLIT(A341," - "),2)</f>
        <v>hairy</v>
      </c>
      <c r="C341" t="s">
        <v>33</v>
      </c>
      <c r="D341" t="s">
        <v>17</v>
      </c>
      <c r="E341">
        <v>7791262</v>
      </c>
      <c r="F341" t="s">
        <v>18</v>
      </c>
      <c r="G341">
        <v>0</v>
      </c>
      <c r="H341">
        <v>394</v>
      </c>
      <c r="I341">
        <v>1</v>
      </c>
      <c r="J341">
        <v>169.46199999999999</v>
      </c>
      <c r="K341">
        <v>0.23250050158737601</v>
      </c>
      <c r="L341">
        <v>0.43010659898477099</v>
      </c>
      <c r="M341">
        <v>3</v>
      </c>
      <c r="N341">
        <v>56.487333333333297</v>
      </c>
      <c r="O341" t="s">
        <v>20</v>
      </c>
      <c r="P341" t="s">
        <v>21</v>
      </c>
    </row>
    <row r="342" spans="1:16" x14ac:dyDescent="0.2">
      <c r="A342" t="s">
        <v>65</v>
      </c>
      <c r="B342" t="str" cm="1">
        <f t="array" ref="B342">INDEX(_xlfn.TEXTSPLIT(A342," - "),2)</f>
        <v>Category: Asian</v>
      </c>
      <c r="C342" t="s">
        <v>23</v>
      </c>
      <c r="D342" t="s">
        <v>24</v>
      </c>
      <c r="E342">
        <v>7791208</v>
      </c>
      <c r="F342" t="s">
        <v>18</v>
      </c>
      <c r="G342">
        <v>0</v>
      </c>
      <c r="H342">
        <v>1880</v>
      </c>
      <c r="I342">
        <v>1</v>
      </c>
      <c r="J342">
        <v>349.59800000000001</v>
      </c>
      <c r="K342">
        <v>0.53776051350408105</v>
      </c>
      <c r="L342">
        <v>0.18595638297872299</v>
      </c>
      <c r="M342">
        <v>3</v>
      </c>
      <c r="N342">
        <v>116.532666666666</v>
      </c>
      <c r="O342" t="s">
        <v>20</v>
      </c>
      <c r="P342" t="s">
        <v>21</v>
      </c>
    </row>
    <row r="343" spans="1:16" x14ac:dyDescent="0.2">
      <c r="A343" t="s">
        <v>90</v>
      </c>
      <c r="B343" t="str" cm="1">
        <f t="array" ref="B343">INDEX(_xlfn.TEXTSPLIT(A343," - "),2)</f>
        <v>lingerie</v>
      </c>
      <c r="C343" t="s">
        <v>33</v>
      </c>
      <c r="D343" t="s">
        <v>17</v>
      </c>
      <c r="E343">
        <v>7790882</v>
      </c>
      <c r="F343" t="s">
        <v>18</v>
      </c>
      <c r="G343">
        <v>0</v>
      </c>
      <c r="H343">
        <v>416</v>
      </c>
      <c r="I343">
        <v>1</v>
      </c>
      <c r="J343">
        <v>167.50700000000001</v>
      </c>
      <c r="K343">
        <v>0.24834783023993001</v>
      </c>
      <c r="L343">
        <v>0.40266105769230698</v>
      </c>
      <c r="M343">
        <v>3</v>
      </c>
      <c r="N343">
        <v>55.835666666666597</v>
      </c>
      <c r="O343" t="s">
        <v>20</v>
      </c>
      <c r="P343" t="s">
        <v>21</v>
      </c>
    </row>
    <row r="344" spans="1:16" x14ac:dyDescent="0.2">
      <c r="A344" t="s">
        <v>95</v>
      </c>
      <c r="B344" t="str" cm="1">
        <f t="array" ref="B344">INDEX(_xlfn.TEXTSPLIT(A344," - "),2)</f>
        <v>Handjob</v>
      </c>
      <c r="C344" t="s">
        <v>23</v>
      </c>
      <c r="D344" t="s">
        <v>24</v>
      </c>
      <c r="E344">
        <v>7790670</v>
      </c>
      <c r="F344" t="s">
        <v>18</v>
      </c>
      <c r="G344">
        <v>0</v>
      </c>
      <c r="H344">
        <v>2189</v>
      </c>
      <c r="I344">
        <v>0.63547610471937799</v>
      </c>
      <c r="J344">
        <v>189.56379299</v>
      </c>
      <c r="K344">
        <v>0.733820088366822</v>
      </c>
      <c r="L344">
        <v>8.6598352211055205E-2</v>
      </c>
      <c r="M344">
        <v>3</v>
      </c>
      <c r="N344">
        <v>63.187930996666601</v>
      </c>
      <c r="O344" t="s">
        <v>20</v>
      </c>
      <c r="P344" t="s">
        <v>21</v>
      </c>
    </row>
    <row r="345" spans="1:16" x14ac:dyDescent="0.2">
      <c r="A345" t="s">
        <v>140</v>
      </c>
      <c r="B345" t="str" cm="1">
        <f t="array" ref="B345">INDEX(_xlfn.TEXTSPLIT(A345," - "),2)</f>
        <v>bbc</v>
      </c>
      <c r="C345" t="s">
        <v>23</v>
      </c>
      <c r="D345" t="s">
        <v>24</v>
      </c>
      <c r="E345">
        <v>7790208</v>
      </c>
      <c r="F345" t="s">
        <v>18</v>
      </c>
      <c r="G345">
        <v>0</v>
      </c>
      <c r="H345">
        <v>1586</v>
      </c>
      <c r="I345">
        <v>1</v>
      </c>
      <c r="J345">
        <v>286.88900000000001</v>
      </c>
      <c r="K345">
        <v>0.55282705157743905</v>
      </c>
      <c r="L345">
        <v>0.180888398486759</v>
      </c>
      <c r="M345">
        <v>3</v>
      </c>
      <c r="N345">
        <v>95.629666666666594</v>
      </c>
      <c r="O345" t="s">
        <v>20</v>
      </c>
      <c r="P345" t="s">
        <v>21</v>
      </c>
    </row>
    <row r="346" spans="1:16" x14ac:dyDescent="0.2">
      <c r="A346" t="s">
        <v>194</v>
      </c>
      <c r="B346" t="str" cm="1">
        <f t="array" ref="B346">INDEX(_xlfn.TEXTSPLIT(A346," - "),2)</f>
        <v>pov</v>
      </c>
      <c r="C346" t="s">
        <v>33</v>
      </c>
      <c r="D346" t="s">
        <v>17</v>
      </c>
      <c r="E346">
        <v>7762852</v>
      </c>
      <c r="F346" t="s">
        <v>18</v>
      </c>
      <c r="G346">
        <v>0</v>
      </c>
      <c r="H346">
        <v>438</v>
      </c>
      <c r="I346">
        <v>1</v>
      </c>
      <c r="J346">
        <v>162.25200000000001</v>
      </c>
      <c r="K346">
        <v>0.269950447452111</v>
      </c>
      <c r="L346">
        <v>0.37043835616438298</v>
      </c>
      <c r="M346">
        <v>3</v>
      </c>
      <c r="N346">
        <v>54.084000000000003</v>
      </c>
      <c r="O346" t="s">
        <v>20</v>
      </c>
      <c r="P346" t="s">
        <v>21</v>
      </c>
    </row>
    <row r="347" spans="1:16" x14ac:dyDescent="0.2">
      <c r="A347" t="s">
        <v>223</v>
      </c>
      <c r="B347" t="str" cm="1">
        <f t="array" ref="B347">INDEX(_xlfn.TEXTSPLIT(A347," - "),2)</f>
        <v>Category: Latina</v>
      </c>
      <c r="C347" t="s">
        <v>23</v>
      </c>
      <c r="D347" t="s">
        <v>24</v>
      </c>
      <c r="E347">
        <v>7762312</v>
      </c>
      <c r="F347" t="s">
        <v>18</v>
      </c>
      <c r="G347">
        <v>0</v>
      </c>
      <c r="H347">
        <v>1557</v>
      </c>
      <c r="I347">
        <v>0.70380184220028197</v>
      </c>
      <c r="J347">
        <v>329.41374844000001</v>
      </c>
      <c r="K347">
        <v>0.33265747817002</v>
      </c>
      <c r="L347">
        <v>0.21156952372511201</v>
      </c>
      <c r="M347">
        <v>3</v>
      </c>
      <c r="N347">
        <v>109.804582813333</v>
      </c>
      <c r="O347" t="s">
        <v>20</v>
      </c>
      <c r="P347" t="s">
        <v>21</v>
      </c>
    </row>
    <row r="348" spans="1:16" x14ac:dyDescent="0.2">
      <c r="A348" t="s">
        <v>260</v>
      </c>
      <c r="B348" t="str" cm="1">
        <f t="array" ref="B348">INDEX(_xlfn.TEXTSPLIT(A348," - "),2)</f>
        <v>power</v>
      </c>
      <c r="C348" t="s">
        <v>23</v>
      </c>
      <c r="D348" t="s">
        <v>24</v>
      </c>
      <c r="E348">
        <v>7744400</v>
      </c>
      <c r="F348" t="s">
        <v>18</v>
      </c>
      <c r="G348">
        <v>0</v>
      </c>
      <c r="H348">
        <v>350</v>
      </c>
      <c r="I348">
        <v>1.7603170707395499</v>
      </c>
      <c r="J348">
        <v>191.61051315</v>
      </c>
      <c r="K348">
        <v>0.32154340836012801</v>
      </c>
      <c r="L348">
        <v>0.54745860899999998</v>
      </c>
      <c r="M348">
        <v>3</v>
      </c>
      <c r="N348">
        <v>63.870171050000003</v>
      </c>
      <c r="O348" t="s">
        <v>20</v>
      </c>
      <c r="P348" t="s">
        <v>21</v>
      </c>
    </row>
    <row r="349" spans="1:16" x14ac:dyDescent="0.2">
      <c r="A349" t="s">
        <v>297</v>
      </c>
      <c r="B349" t="str" cm="1">
        <f t="array" ref="B349">INDEX(_xlfn.TEXTSPLIT(A349," - "),2)</f>
        <v>edging</v>
      </c>
      <c r="C349" t="s">
        <v>23</v>
      </c>
      <c r="D349" t="s">
        <v>24</v>
      </c>
      <c r="E349">
        <v>7728476</v>
      </c>
      <c r="F349" t="s">
        <v>18</v>
      </c>
      <c r="G349">
        <v>0</v>
      </c>
      <c r="H349">
        <v>492</v>
      </c>
      <c r="I349">
        <v>1.77168493717544</v>
      </c>
      <c r="J349">
        <v>208.11982957000001</v>
      </c>
      <c r="K349">
        <v>0.41883033966118999</v>
      </c>
      <c r="L349">
        <v>0.42300778367886099</v>
      </c>
      <c r="M349">
        <v>3</v>
      </c>
      <c r="N349">
        <v>69.373276523333303</v>
      </c>
      <c r="O349" t="s">
        <v>20</v>
      </c>
      <c r="P349" t="s">
        <v>21</v>
      </c>
    </row>
    <row r="350" spans="1:16" x14ac:dyDescent="0.2">
      <c r="A350" t="s">
        <v>303</v>
      </c>
      <c r="B350" t="str" cm="1">
        <f t="array" ref="B350">INDEX(_xlfn.TEXTSPLIT(A350," - "),2)</f>
        <v>pregnant</v>
      </c>
      <c r="C350" t="s">
        <v>263</v>
      </c>
      <c r="D350" t="s">
        <v>17</v>
      </c>
      <c r="E350">
        <v>7728304</v>
      </c>
      <c r="F350" t="s">
        <v>18</v>
      </c>
      <c r="G350">
        <v>0</v>
      </c>
      <c r="H350">
        <v>222</v>
      </c>
      <c r="I350">
        <v>1</v>
      </c>
      <c r="J350">
        <v>96.715000000000003</v>
      </c>
      <c r="K350">
        <v>0.22954040221268601</v>
      </c>
      <c r="L350">
        <v>0.43565315315315301</v>
      </c>
      <c r="M350">
        <v>3</v>
      </c>
      <c r="N350">
        <v>32.238333333333301</v>
      </c>
      <c r="O350" t="s">
        <v>20</v>
      </c>
      <c r="P350">
        <v>200</v>
      </c>
    </row>
    <row r="351" spans="1:16" x14ac:dyDescent="0.2">
      <c r="A351" t="s">
        <v>316</v>
      </c>
      <c r="B351" t="str" cm="1">
        <f t="array" ref="B351">INDEX(_xlfn.TEXTSPLIT(A351," - "),2)</f>
        <v>facesitting</v>
      </c>
      <c r="C351" t="s">
        <v>263</v>
      </c>
      <c r="D351" t="s">
        <v>17</v>
      </c>
      <c r="E351">
        <v>7727946</v>
      </c>
      <c r="F351" t="s">
        <v>18</v>
      </c>
      <c r="G351">
        <v>0</v>
      </c>
      <c r="H351">
        <v>477</v>
      </c>
      <c r="I351">
        <v>1</v>
      </c>
      <c r="J351">
        <v>188.35599999999999</v>
      </c>
      <c r="K351">
        <v>0.25324385737645699</v>
      </c>
      <c r="L351">
        <v>0.394876310272536</v>
      </c>
      <c r="M351">
        <v>3</v>
      </c>
      <c r="N351">
        <v>62.785333333333298</v>
      </c>
      <c r="O351" t="s">
        <v>20</v>
      </c>
      <c r="P351" t="s">
        <v>21</v>
      </c>
    </row>
    <row r="352" spans="1:16" x14ac:dyDescent="0.2">
      <c r="A352" t="s">
        <v>337</v>
      </c>
      <c r="B352" t="str" cm="1">
        <f t="array" ref="B352">INDEX(_xlfn.TEXTSPLIT(A352," - "),2)</f>
        <v>hotel</v>
      </c>
      <c r="C352" t="s">
        <v>263</v>
      </c>
      <c r="D352" t="s">
        <v>17</v>
      </c>
      <c r="E352">
        <v>7727524</v>
      </c>
      <c r="F352" t="s">
        <v>18</v>
      </c>
      <c r="G352">
        <v>0</v>
      </c>
      <c r="H352">
        <v>431</v>
      </c>
      <c r="I352">
        <v>0.999999999999999</v>
      </c>
      <c r="J352">
        <v>179.02599999999899</v>
      </c>
      <c r="K352">
        <v>0.24074715404466299</v>
      </c>
      <c r="L352">
        <v>0.41537354988399</v>
      </c>
      <c r="M352">
        <v>3</v>
      </c>
      <c r="N352">
        <v>59.675333333333299</v>
      </c>
      <c r="O352" t="s">
        <v>20</v>
      </c>
      <c r="P352" t="s">
        <v>21</v>
      </c>
    </row>
    <row r="353" spans="1:16" x14ac:dyDescent="0.2">
      <c r="A353" t="s">
        <v>345</v>
      </c>
      <c r="B353" t="str" cm="1">
        <f t="array" ref="B353">INDEX(_xlfn.TEXTSPLIT(A353," - "),2)</f>
        <v>casting</v>
      </c>
      <c r="C353" t="s">
        <v>23</v>
      </c>
      <c r="D353" t="s">
        <v>24</v>
      </c>
      <c r="E353">
        <v>7727324</v>
      </c>
      <c r="F353" t="s">
        <v>18</v>
      </c>
      <c r="G353">
        <v>0</v>
      </c>
      <c r="H353">
        <v>593</v>
      </c>
      <c r="I353">
        <v>1</v>
      </c>
      <c r="J353">
        <v>282.47699999999998</v>
      </c>
      <c r="K353">
        <v>0.209928595956484</v>
      </c>
      <c r="L353">
        <v>0.476352445193929</v>
      </c>
      <c r="M353">
        <v>3</v>
      </c>
      <c r="N353">
        <v>94.159000000000006</v>
      </c>
      <c r="O353" t="s">
        <v>20</v>
      </c>
      <c r="P353" t="s">
        <v>21</v>
      </c>
    </row>
    <row r="354" spans="1:16" x14ac:dyDescent="0.2">
      <c r="A354" t="s">
        <v>348</v>
      </c>
      <c r="B354" t="str" cm="1">
        <f t="array" ref="B354">INDEX(_xlfn.TEXTSPLIT(A354," - "),2)</f>
        <v>straight</v>
      </c>
      <c r="C354" t="s">
        <v>263</v>
      </c>
      <c r="D354" t="s">
        <v>17</v>
      </c>
      <c r="E354">
        <v>7727260</v>
      </c>
      <c r="F354" t="s">
        <v>18</v>
      </c>
      <c r="G354">
        <v>0</v>
      </c>
      <c r="H354">
        <v>379</v>
      </c>
      <c r="I354">
        <v>1</v>
      </c>
      <c r="J354">
        <v>159.94499999999999</v>
      </c>
      <c r="K354">
        <v>0.23695645378098701</v>
      </c>
      <c r="L354">
        <v>0.42201846965699202</v>
      </c>
      <c r="M354">
        <v>3</v>
      </c>
      <c r="N354">
        <v>53.314999999999998</v>
      </c>
      <c r="O354" t="s">
        <v>20</v>
      </c>
      <c r="P354" t="s">
        <v>21</v>
      </c>
    </row>
    <row r="355" spans="1:16" x14ac:dyDescent="0.2">
      <c r="A355" t="s">
        <v>350</v>
      </c>
      <c r="B355" t="str" cm="1">
        <f t="array" ref="B355">INDEX(_xlfn.TEXTSPLIT(A355," - "),2)</f>
        <v>petite</v>
      </c>
      <c r="C355" t="s">
        <v>23</v>
      </c>
      <c r="D355" t="s">
        <v>24</v>
      </c>
      <c r="E355">
        <v>7727214</v>
      </c>
      <c r="F355" t="s">
        <v>18</v>
      </c>
      <c r="G355">
        <v>0</v>
      </c>
      <c r="H355">
        <v>587</v>
      </c>
      <c r="I355">
        <v>1</v>
      </c>
      <c r="J355">
        <v>214.298</v>
      </c>
      <c r="K355">
        <v>0.27391762872261899</v>
      </c>
      <c r="L355">
        <v>0.36507325383304901</v>
      </c>
      <c r="M355">
        <v>3</v>
      </c>
      <c r="N355">
        <v>71.432666666666606</v>
      </c>
      <c r="O355" t="s">
        <v>20</v>
      </c>
      <c r="P355" t="s">
        <v>21</v>
      </c>
    </row>
    <row r="356" spans="1:16" x14ac:dyDescent="0.2">
      <c r="A356" t="s">
        <v>357</v>
      </c>
      <c r="B356" t="str" cm="1">
        <f t="array" ref="B356">INDEX(_xlfn.TEXTSPLIT(A356," - "),2)</f>
        <v>interracial</v>
      </c>
      <c r="C356" t="s">
        <v>23</v>
      </c>
      <c r="D356" t="s">
        <v>24</v>
      </c>
      <c r="E356">
        <v>7727022</v>
      </c>
      <c r="F356" t="s">
        <v>18</v>
      </c>
      <c r="G356">
        <v>0</v>
      </c>
      <c r="H356">
        <v>916</v>
      </c>
      <c r="I356">
        <v>1</v>
      </c>
      <c r="J356">
        <v>407.82400000000001</v>
      </c>
      <c r="K356">
        <v>0.22460669308329001</v>
      </c>
      <c r="L356">
        <v>0.44522270742358</v>
      </c>
      <c r="M356">
        <v>3</v>
      </c>
      <c r="N356">
        <v>135.94133333333301</v>
      </c>
      <c r="O356" t="s">
        <v>20</v>
      </c>
      <c r="P356" t="s">
        <v>21</v>
      </c>
    </row>
    <row r="357" spans="1:16" x14ac:dyDescent="0.2">
      <c r="A357" t="s">
        <v>389</v>
      </c>
      <c r="B357" t="str" cm="1">
        <f t="array" ref="B357">INDEX(_xlfn.TEXTSPLIT(A357," - "),2)</f>
        <v>Disney</v>
      </c>
      <c r="C357" t="s">
        <v>23</v>
      </c>
      <c r="D357" t="s">
        <v>24</v>
      </c>
      <c r="E357">
        <v>7718174</v>
      </c>
      <c r="F357" t="s">
        <v>18</v>
      </c>
      <c r="G357">
        <v>0</v>
      </c>
      <c r="H357">
        <v>513</v>
      </c>
      <c r="I357">
        <v>1</v>
      </c>
      <c r="J357">
        <v>161.25299999999999</v>
      </c>
      <c r="K357">
        <v>0.318133616118769</v>
      </c>
      <c r="L357">
        <v>0.31433333333333302</v>
      </c>
      <c r="M357">
        <v>3</v>
      </c>
      <c r="N357">
        <v>53.750999999999998</v>
      </c>
      <c r="O357" t="s">
        <v>20</v>
      </c>
      <c r="P357" t="s">
        <v>21</v>
      </c>
    </row>
    <row r="358" spans="1:16" x14ac:dyDescent="0.2">
      <c r="A358" t="s">
        <v>392</v>
      </c>
      <c r="B358" t="str" cm="1">
        <f t="array" ref="B358">INDEX(_xlfn.TEXTSPLIT(A358," - "),2)</f>
        <v>Handjob</v>
      </c>
      <c r="C358" t="s">
        <v>23</v>
      </c>
      <c r="D358" t="s">
        <v>24</v>
      </c>
      <c r="E358">
        <v>7718144</v>
      </c>
      <c r="F358" t="s">
        <v>18</v>
      </c>
      <c r="G358">
        <v>0</v>
      </c>
      <c r="H358">
        <v>639</v>
      </c>
      <c r="I358">
        <v>1</v>
      </c>
      <c r="J358">
        <v>208.31399999999999</v>
      </c>
      <c r="K358">
        <v>0.306748466257668</v>
      </c>
      <c r="L358">
        <v>0.32600000000000001</v>
      </c>
      <c r="M358">
        <v>3</v>
      </c>
      <c r="N358">
        <v>69.438000000000002</v>
      </c>
      <c r="O358" t="s">
        <v>20</v>
      </c>
      <c r="P358" t="s">
        <v>21</v>
      </c>
    </row>
    <row r="359" spans="1:16" x14ac:dyDescent="0.2">
      <c r="A359" t="s">
        <v>394</v>
      </c>
      <c r="B359" t="str" cm="1">
        <f t="array" ref="B359">INDEX(_xlfn.TEXTSPLIT(A359," - "),2)</f>
        <v>Fantasy</v>
      </c>
      <c r="C359" t="s">
        <v>23</v>
      </c>
      <c r="D359" t="s">
        <v>24</v>
      </c>
      <c r="E359">
        <v>7718122</v>
      </c>
      <c r="F359" t="s">
        <v>18</v>
      </c>
      <c r="G359">
        <v>0</v>
      </c>
      <c r="H359">
        <v>743</v>
      </c>
      <c r="I359">
        <v>0.999999999999999</v>
      </c>
      <c r="J359">
        <v>266.022999999999</v>
      </c>
      <c r="K359">
        <v>0.27929915834345098</v>
      </c>
      <c r="L359">
        <v>0.35803903095558498</v>
      </c>
      <c r="M359">
        <v>3</v>
      </c>
      <c r="N359">
        <v>88.674333333333294</v>
      </c>
      <c r="O359" t="s">
        <v>20</v>
      </c>
      <c r="P359" t="s">
        <v>21</v>
      </c>
    </row>
    <row r="360" spans="1:16" x14ac:dyDescent="0.2">
      <c r="A360" t="s">
        <v>399</v>
      </c>
      <c r="B360" t="str" cm="1">
        <f t="array" ref="B360">INDEX(_xlfn.TEXTSPLIT(A360," - "),2)</f>
        <v>Category: Squirting</v>
      </c>
      <c r="C360" t="s">
        <v>23</v>
      </c>
      <c r="D360" t="s">
        <v>24</v>
      </c>
      <c r="E360">
        <v>7718068</v>
      </c>
      <c r="F360" t="s">
        <v>18</v>
      </c>
      <c r="G360">
        <v>0</v>
      </c>
      <c r="H360">
        <v>640</v>
      </c>
      <c r="I360">
        <v>1</v>
      </c>
      <c r="J360">
        <v>231.30099999999999</v>
      </c>
      <c r="K360">
        <v>0.27669573412998599</v>
      </c>
      <c r="L360">
        <v>0.36140781249999998</v>
      </c>
      <c r="M360">
        <v>3</v>
      </c>
      <c r="N360">
        <v>77.100333333333296</v>
      </c>
      <c r="O360" t="s">
        <v>20</v>
      </c>
      <c r="P360" t="s">
        <v>21</v>
      </c>
    </row>
    <row r="361" spans="1:16" x14ac:dyDescent="0.2">
      <c r="A361" t="s">
        <v>405</v>
      </c>
      <c r="B361" t="str" cm="1">
        <f t="array" ref="B361">INDEX(_xlfn.TEXTSPLIT(A361," - "),2)</f>
        <v>Category: Anal</v>
      </c>
      <c r="C361" t="s">
        <v>23</v>
      </c>
      <c r="D361" t="s">
        <v>24</v>
      </c>
      <c r="E361">
        <v>7717984</v>
      </c>
      <c r="F361" t="s">
        <v>18</v>
      </c>
      <c r="G361">
        <v>0</v>
      </c>
      <c r="H361">
        <v>861</v>
      </c>
      <c r="I361">
        <v>1</v>
      </c>
      <c r="J361">
        <v>316.82400000000001</v>
      </c>
      <c r="K361">
        <v>0.271759715173092</v>
      </c>
      <c r="L361">
        <v>0.36797212543553998</v>
      </c>
      <c r="M361">
        <v>3</v>
      </c>
      <c r="N361">
        <v>105.608</v>
      </c>
      <c r="O361" t="s">
        <v>20</v>
      </c>
      <c r="P361" t="s">
        <v>21</v>
      </c>
    </row>
    <row r="362" spans="1:16" x14ac:dyDescent="0.2">
      <c r="A362" t="s">
        <v>89</v>
      </c>
      <c r="B362" t="str" cm="1">
        <f t="array" ref="B362">INDEX(_xlfn.TEXTSPLIT(A362," - "),2)</f>
        <v>lingerie</v>
      </c>
      <c r="C362" t="s">
        <v>23</v>
      </c>
      <c r="D362" t="s">
        <v>24</v>
      </c>
      <c r="E362">
        <v>7790890</v>
      </c>
      <c r="F362" t="s">
        <v>18</v>
      </c>
      <c r="G362">
        <v>0</v>
      </c>
      <c r="H362">
        <v>2546</v>
      </c>
      <c r="I362">
        <v>1</v>
      </c>
      <c r="J362">
        <v>485.62799999999999</v>
      </c>
      <c r="K362">
        <v>0.52426960554169</v>
      </c>
      <c r="L362">
        <v>0.190741555380989</v>
      </c>
      <c r="M362">
        <v>4</v>
      </c>
      <c r="N362">
        <v>121.407</v>
      </c>
      <c r="O362" t="s">
        <v>20</v>
      </c>
      <c r="P362" t="s">
        <v>21</v>
      </c>
    </row>
    <row r="363" spans="1:16" x14ac:dyDescent="0.2">
      <c r="A363" t="s">
        <v>99</v>
      </c>
      <c r="B363" t="str" cm="1">
        <f t="array" ref="B363">INDEX(_xlfn.TEXTSPLIT(A363," - "),2)</f>
        <v>Handjob</v>
      </c>
      <c r="C363" t="s">
        <v>33</v>
      </c>
      <c r="D363" t="s">
        <v>17</v>
      </c>
      <c r="E363">
        <v>7790642</v>
      </c>
      <c r="F363" t="s">
        <v>18</v>
      </c>
      <c r="G363">
        <v>0</v>
      </c>
      <c r="H363">
        <v>1481</v>
      </c>
      <c r="I363">
        <v>1.00141197694672</v>
      </c>
      <c r="J363">
        <v>381.74225125999999</v>
      </c>
      <c r="K363">
        <v>0.38850589185842699</v>
      </c>
      <c r="L363">
        <v>0.25775979153274797</v>
      </c>
      <c r="M363">
        <v>4</v>
      </c>
      <c r="N363">
        <v>95.435562814999997</v>
      </c>
      <c r="O363" t="s">
        <v>20</v>
      </c>
      <c r="P363" t="s">
        <v>21</v>
      </c>
    </row>
    <row r="364" spans="1:16" x14ac:dyDescent="0.2">
      <c r="A364" t="s">
        <v>108</v>
      </c>
      <c r="B364" t="str" cm="1">
        <f t="array" ref="B364">INDEX(_xlfn.TEXTSPLIT(A364," - "),2)</f>
        <v>roleplay</v>
      </c>
      <c r="C364" t="s">
        <v>33</v>
      </c>
      <c r="D364" t="s">
        <v>17</v>
      </c>
      <c r="E364">
        <v>7790488</v>
      </c>
      <c r="F364" t="s">
        <v>18</v>
      </c>
      <c r="G364">
        <v>0</v>
      </c>
      <c r="H364">
        <v>312</v>
      </c>
      <c r="I364">
        <v>1</v>
      </c>
      <c r="J364">
        <v>132.06399999999999</v>
      </c>
      <c r="K364">
        <v>0.236249091349648</v>
      </c>
      <c r="L364">
        <v>0.42328205128205099</v>
      </c>
      <c r="M364">
        <v>4</v>
      </c>
      <c r="N364">
        <v>33.015999999999998</v>
      </c>
      <c r="O364" t="s">
        <v>20</v>
      </c>
      <c r="P364" t="s">
        <v>21</v>
      </c>
    </row>
    <row r="365" spans="1:16" x14ac:dyDescent="0.2">
      <c r="A365" t="s">
        <v>128</v>
      </c>
      <c r="B365" t="str" cm="1">
        <f t="array" ref="B365">INDEX(_xlfn.TEXTSPLIT(A365," - "),2)</f>
        <v>milf</v>
      </c>
      <c r="C365" t="s">
        <v>23</v>
      </c>
      <c r="D365" t="s">
        <v>24</v>
      </c>
      <c r="E365">
        <v>7790270</v>
      </c>
      <c r="F365" t="s">
        <v>18</v>
      </c>
      <c r="G365">
        <v>0</v>
      </c>
      <c r="H365">
        <v>1322</v>
      </c>
      <c r="I365">
        <v>1</v>
      </c>
      <c r="J365">
        <v>274.61200000000002</v>
      </c>
      <c r="K365">
        <v>0.48140649352540998</v>
      </c>
      <c r="L365">
        <v>0.20772465960665601</v>
      </c>
      <c r="M365">
        <v>4</v>
      </c>
      <c r="N365">
        <v>68.653000000000006</v>
      </c>
      <c r="O365" t="s">
        <v>20</v>
      </c>
      <c r="P365" t="s">
        <v>21</v>
      </c>
    </row>
    <row r="366" spans="1:16" x14ac:dyDescent="0.2">
      <c r="A366" t="s">
        <v>154</v>
      </c>
      <c r="B366" t="str" cm="1">
        <f t="array" ref="B366">INDEX(_xlfn.TEXTSPLIT(A366," - "),2)</f>
        <v>creampie</v>
      </c>
      <c r="C366" t="s">
        <v>23</v>
      </c>
      <c r="D366" t="s">
        <v>24</v>
      </c>
      <c r="E366">
        <v>7790158</v>
      </c>
      <c r="F366" t="s">
        <v>18</v>
      </c>
      <c r="G366">
        <v>0</v>
      </c>
      <c r="H366">
        <v>2016</v>
      </c>
      <c r="I366">
        <v>0.99932886675208599</v>
      </c>
      <c r="J366">
        <v>435.98419999999999</v>
      </c>
      <c r="K366">
        <v>0.46209174446509899</v>
      </c>
      <c r="L366">
        <v>0.21626200396825301</v>
      </c>
      <c r="M366">
        <v>4</v>
      </c>
      <c r="N366">
        <v>108.99605</v>
      </c>
      <c r="O366" t="s">
        <v>20</v>
      </c>
      <c r="P366" t="s">
        <v>21</v>
      </c>
    </row>
    <row r="367" spans="1:16" x14ac:dyDescent="0.2">
      <c r="A367" t="s">
        <v>181</v>
      </c>
      <c r="B367" t="str" cm="1">
        <f t="array" ref="B367">INDEX(_xlfn.TEXTSPLIT(A367," - "),2)</f>
        <v>stepsister</v>
      </c>
      <c r="C367" t="s">
        <v>33</v>
      </c>
      <c r="D367" t="s">
        <v>24</v>
      </c>
      <c r="E367">
        <v>7762902</v>
      </c>
      <c r="F367" t="s">
        <v>18</v>
      </c>
      <c r="G367">
        <v>0</v>
      </c>
      <c r="H367">
        <v>925</v>
      </c>
      <c r="I367">
        <v>1</v>
      </c>
      <c r="J367">
        <v>304.80700000000002</v>
      </c>
      <c r="K367">
        <v>0.303470720816779</v>
      </c>
      <c r="L367">
        <v>0.32952108108108102</v>
      </c>
      <c r="M367">
        <v>4</v>
      </c>
      <c r="N367">
        <v>76.201750000000004</v>
      </c>
      <c r="O367" t="s">
        <v>20</v>
      </c>
      <c r="P367" t="s">
        <v>21</v>
      </c>
    </row>
    <row r="368" spans="1:16" x14ac:dyDescent="0.2">
      <c r="A368" t="s">
        <v>291</v>
      </c>
      <c r="B368" t="str" cm="1">
        <f t="array" ref="B368">INDEX(_xlfn.TEXTSPLIT(A368," - "),2)</f>
        <v>hairy</v>
      </c>
      <c r="C368" t="s">
        <v>23</v>
      </c>
      <c r="D368" t="s">
        <v>24</v>
      </c>
      <c r="E368">
        <v>7728630</v>
      </c>
      <c r="F368" t="s">
        <v>18</v>
      </c>
      <c r="G368">
        <v>0</v>
      </c>
      <c r="H368">
        <v>522</v>
      </c>
      <c r="I368">
        <v>1</v>
      </c>
      <c r="J368">
        <v>208.10599999999999</v>
      </c>
      <c r="K368">
        <v>0.25083370974407199</v>
      </c>
      <c r="L368">
        <v>0.398670498084291</v>
      </c>
      <c r="M368">
        <v>4</v>
      </c>
      <c r="N368">
        <v>52.026499999999999</v>
      </c>
      <c r="O368" t="s">
        <v>20</v>
      </c>
      <c r="P368" t="s">
        <v>21</v>
      </c>
    </row>
    <row r="369" spans="1:16" x14ac:dyDescent="0.2">
      <c r="A369" t="s">
        <v>354</v>
      </c>
      <c r="B369" t="str" cm="1">
        <f t="array" ref="B369">INDEX(_xlfn.TEXTSPLIT(A369," - "),2)</f>
        <v>goth</v>
      </c>
      <c r="C369" t="s">
        <v>263</v>
      </c>
      <c r="D369" t="s">
        <v>17</v>
      </c>
      <c r="E369">
        <v>7727100</v>
      </c>
      <c r="F369" t="s">
        <v>18</v>
      </c>
      <c r="G369">
        <v>0</v>
      </c>
      <c r="H369">
        <v>431</v>
      </c>
      <c r="I369">
        <v>1</v>
      </c>
      <c r="J369">
        <v>142.21100000000001</v>
      </c>
      <c r="K369">
        <v>0.30307078917945801</v>
      </c>
      <c r="L369">
        <v>0.32995591647331701</v>
      </c>
      <c r="M369">
        <v>4</v>
      </c>
      <c r="N369">
        <v>35.552750000000003</v>
      </c>
      <c r="O369" t="s">
        <v>20</v>
      </c>
      <c r="P369" t="s">
        <v>21</v>
      </c>
    </row>
    <row r="370" spans="1:16" x14ac:dyDescent="0.2">
      <c r="A370" t="s">
        <v>377</v>
      </c>
      <c r="B370" t="str" cm="1">
        <f t="array" ref="B370">INDEX(_xlfn.TEXTSPLIT(A370," - "),2)</f>
        <v>japanese</v>
      </c>
      <c r="C370" t="s">
        <v>263</v>
      </c>
      <c r="D370" t="s">
        <v>24</v>
      </c>
      <c r="E370">
        <v>7726402</v>
      </c>
      <c r="F370" t="s">
        <v>18</v>
      </c>
      <c r="G370">
        <v>0</v>
      </c>
      <c r="H370">
        <v>666</v>
      </c>
      <c r="I370">
        <v>1</v>
      </c>
      <c r="J370">
        <v>263.94799999999998</v>
      </c>
      <c r="K370">
        <v>0.25232242714474001</v>
      </c>
      <c r="L370">
        <v>0.39631831831831799</v>
      </c>
      <c r="M370">
        <v>4</v>
      </c>
      <c r="N370">
        <v>65.986999999999995</v>
      </c>
      <c r="O370" t="s">
        <v>20</v>
      </c>
      <c r="P370" t="s">
        <v>21</v>
      </c>
    </row>
    <row r="371" spans="1:16" x14ac:dyDescent="0.2">
      <c r="A371" t="s">
        <v>380</v>
      </c>
      <c r="B371" t="str" cm="1">
        <f t="array" ref="B371">INDEX(_xlfn.TEXTSPLIT(A371," - "),2)</f>
        <v>milf</v>
      </c>
      <c r="C371" t="s">
        <v>23</v>
      </c>
      <c r="D371" t="s">
        <v>24</v>
      </c>
      <c r="E371">
        <v>7726260</v>
      </c>
      <c r="F371" t="s">
        <v>18</v>
      </c>
      <c r="G371">
        <v>0</v>
      </c>
      <c r="H371">
        <v>989</v>
      </c>
      <c r="I371">
        <v>0.99997265066350605</v>
      </c>
      <c r="J371">
        <v>351.00439999999998</v>
      </c>
      <c r="K371">
        <v>0.28175514366948301</v>
      </c>
      <c r="L371">
        <v>0.35490839231547</v>
      </c>
      <c r="M371">
        <v>4</v>
      </c>
      <c r="N371">
        <v>87.751099999999994</v>
      </c>
      <c r="O371" t="s">
        <v>20</v>
      </c>
      <c r="P371" t="s">
        <v>21</v>
      </c>
    </row>
    <row r="372" spans="1:16" x14ac:dyDescent="0.2">
      <c r="A372" t="s">
        <v>395</v>
      </c>
      <c r="B372" t="str" cm="1">
        <f t="array" ref="B372">INDEX(_xlfn.TEXTSPLIT(A372," - "),2)</f>
        <v>Category: Japanese</v>
      </c>
      <c r="C372" t="s">
        <v>23</v>
      </c>
      <c r="D372" t="s">
        <v>24</v>
      </c>
      <c r="E372">
        <v>7718112</v>
      </c>
      <c r="F372" t="s">
        <v>18</v>
      </c>
      <c r="G372">
        <v>0</v>
      </c>
      <c r="H372">
        <v>819</v>
      </c>
      <c r="I372">
        <v>1.08514275032603</v>
      </c>
      <c r="J372">
        <v>353.63174519</v>
      </c>
      <c r="K372">
        <v>0.25131564815809199</v>
      </c>
      <c r="L372">
        <v>0.43178479266178199</v>
      </c>
      <c r="M372">
        <v>4</v>
      </c>
      <c r="N372">
        <v>88.407936297500001</v>
      </c>
      <c r="O372" t="s">
        <v>20</v>
      </c>
      <c r="P372" t="s">
        <v>21</v>
      </c>
    </row>
    <row r="373" spans="1:16" x14ac:dyDescent="0.2">
      <c r="A373" t="s">
        <v>419</v>
      </c>
      <c r="B373" t="str" cm="1">
        <f t="array" ref="B373">INDEX(_xlfn.TEXTSPLIT(A373," - "),2)</f>
        <v>Category: Cartoons/Hentai</v>
      </c>
      <c r="C373" t="s">
        <v>42</v>
      </c>
      <c r="D373" t="s">
        <v>17</v>
      </c>
      <c r="E373">
        <v>7717882</v>
      </c>
      <c r="F373" t="s">
        <v>18</v>
      </c>
      <c r="G373">
        <v>0</v>
      </c>
      <c r="H373">
        <v>469</v>
      </c>
      <c r="I373">
        <v>1.01490091390505</v>
      </c>
      <c r="J373">
        <v>96.592179579999893</v>
      </c>
      <c r="K373">
        <v>0.492781642045096</v>
      </c>
      <c r="L373">
        <v>0.205953474584221</v>
      </c>
      <c r="M373">
        <v>4</v>
      </c>
      <c r="N373">
        <v>24.148044894999899</v>
      </c>
      <c r="O373" t="s">
        <v>20</v>
      </c>
      <c r="P373">
        <v>200</v>
      </c>
    </row>
    <row r="374" spans="1:16" x14ac:dyDescent="0.2">
      <c r="A374" t="s">
        <v>131</v>
      </c>
      <c r="B374" t="str" cm="1">
        <f t="array" ref="B374">INDEX(_xlfn.TEXTSPLIT(A374," - "),2)</f>
        <v>milf</v>
      </c>
      <c r="C374" t="s">
        <v>33</v>
      </c>
      <c r="D374" t="s">
        <v>17</v>
      </c>
      <c r="E374">
        <v>7790262</v>
      </c>
      <c r="F374" t="s">
        <v>18</v>
      </c>
      <c r="G374">
        <v>0</v>
      </c>
      <c r="H374">
        <v>1103</v>
      </c>
      <c r="I374">
        <v>1.00845449954249</v>
      </c>
      <c r="J374">
        <v>449.66179370999998</v>
      </c>
      <c r="K374">
        <v>0.247369318130847</v>
      </c>
      <c r="L374">
        <v>0.40767161714415201</v>
      </c>
      <c r="M374">
        <v>5</v>
      </c>
      <c r="N374">
        <v>89.932358741999906</v>
      </c>
      <c r="O374" t="s">
        <v>20</v>
      </c>
      <c r="P374" t="s">
        <v>21</v>
      </c>
    </row>
    <row r="375" spans="1:16" x14ac:dyDescent="0.2">
      <c r="A375" t="s">
        <v>160</v>
      </c>
      <c r="B375" t="str" cm="1">
        <f t="array" ref="B375">INDEX(_xlfn.TEXTSPLIT(A375," - "),2)</f>
        <v>creampie</v>
      </c>
      <c r="C375" t="s">
        <v>33</v>
      </c>
      <c r="D375" t="s">
        <v>17</v>
      </c>
      <c r="E375">
        <v>7790134</v>
      </c>
      <c r="F375" t="s">
        <v>18</v>
      </c>
      <c r="G375">
        <v>0</v>
      </c>
      <c r="H375">
        <v>1052</v>
      </c>
      <c r="I375">
        <v>1</v>
      </c>
      <c r="J375">
        <v>466.51499999999999</v>
      </c>
      <c r="K375">
        <v>0.22550185953291901</v>
      </c>
      <c r="L375">
        <v>0.44345532319391601</v>
      </c>
      <c r="M375">
        <v>5</v>
      </c>
      <c r="N375">
        <v>93.302999999999997</v>
      </c>
      <c r="O375" t="s">
        <v>20</v>
      </c>
      <c r="P375" t="s">
        <v>21</v>
      </c>
    </row>
    <row r="376" spans="1:16" x14ac:dyDescent="0.2">
      <c r="A376" t="s">
        <v>343</v>
      </c>
      <c r="B376" t="str" cm="1">
        <f t="array" ref="B376">INDEX(_xlfn.TEXTSPLIT(A376," - "),2)</f>
        <v>roleplay</v>
      </c>
      <c r="C376" t="s">
        <v>23</v>
      </c>
      <c r="D376" t="s">
        <v>24</v>
      </c>
      <c r="E376">
        <v>7727366</v>
      </c>
      <c r="F376" t="s">
        <v>18</v>
      </c>
      <c r="G376">
        <v>0</v>
      </c>
      <c r="H376">
        <v>936</v>
      </c>
      <c r="I376">
        <v>1</v>
      </c>
      <c r="J376">
        <v>347.40499999999997</v>
      </c>
      <c r="K376">
        <v>0.269426174061973</v>
      </c>
      <c r="L376">
        <v>0.37115918803418801</v>
      </c>
      <c r="M376">
        <v>5</v>
      </c>
      <c r="N376">
        <v>69.480999999999995</v>
      </c>
      <c r="O376" t="s">
        <v>20</v>
      </c>
      <c r="P376" t="s">
        <v>21</v>
      </c>
    </row>
    <row r="377" spans="1:16" x14ac:dyDescent="0.2">
      <c r="A377" t="s">
        <v>118</v>
      </c>
      <c r="B377" t="str" cm="1">
        <f t="array" ref="B377">INDEX(_xlfn.TEXTSPLIT(A377," - "),2)</f>
        <v>milf</v>
      </c>
      <c r="C377" t="s">
        <v>23</v>
      </c>
      <c r="D377" t="s">
        <v>24</v>
      </c>
      <c r="E377">
        <v>7790310</v>
      </c>
      <c r="F377" t="s">
        <v>18</v>
      </c>
      <c r="G377">
        <v>0</v>
      </c>
      <c r="H377">
        <v>9378</v>
      </c>
      <c r="I377">
        <v>0.60904846505376498</v>
      </c>
      <c r="J377">
        <v>800.71053557000005</v>
      </c>
      <c r="K377">
        <v>0.71332351099992297</v>
      </c>
      <c r="L377">
        <v>8.5381801617615702E-2</v>
      </c>
      <c r="M377">
        <v>6</v>
      </c>
      <c r="N377">
        <v>133.451755928333</v>
      </c>
      <c r="O377" t="s">
        <v>20</v>
      </c>
      <c r="P377" t="s">
        <v>21</v>
      </c>
    </row>
    <row r="378" spans="1:16" x14ac:dyDescent="0.2">
      <c r="A378" t="s">
        <v>199</v>
      </c>
      <c r="B378" t="str" cm="1">
        <f t="array" ref="B378">INDEX(_xlfn.TEXTSPLIT(A378," - "),2)</f>
        <v>pov</v>
      </c>
      <c r="C378" t="s">
        <v>33</v>
      </c>
      <c r="D378" t="s">
        <v>17</v>
      </c>
      <c r="E378">
        <v>7762838</v>
      </c>
      <c r="F378" t="s">
        <v>18</v>
      </c>
      <c r="G378">
        <v>0</v>
      </c>
      <c r="H378">
        <v>1406</v>
      </c>
      <c r="I378">
        <v>1.0096763480200801</v>
      </c>
      <c r="J378">
        <v>539.46098566000001</v>
      </c>
      <c r="K378">
        <v>0.26315247683378501</v>
      </c>
      <c r="L378">
        <v>0.38368491156472201</v>
      </c>
      <c r="M378">
        <v>6</v>
      </c>
      <c r="N378">
        <v>89.910164276666606</v>
      </c>
      <c r="O378" t="s">
        <v>20</v>
      </c>
      <c r="P378" t="s">
        <v>21</v>
      </c>
    </row>
    <row r="379" spans="1:16" x14ac:dyDescent="0.2">
      <c r="A379" t="s">
        <v>202</v>
      </c>
      <c r="B379" t="str" cm="1">
        <f t="array" ref="B379">INDEX(_xlfn.TEXTSPLIT(A379," - "),2)</f>
        <v>threesome</v>
      </c>
      <c r="C379" t="s">
        <v>23</v>
      </c>
      <c r="D379" t="s">
        <v>24</v>
      </c>
      <c r="E379">
        <v>7762822</v>
      </c>
      <c r="F379" t="s">
        <v>18</v>
      </c>
      <c r="G379">
        <v>0</v>
      </c>
      <c r="H379">
        <v>8283</v>
      </c>
      <c r="I379">
        <v>0.55139650430105702</v>
      </c>
      <c r="J379">
        <v>629.27078399999903</v>
      </c>
      <c r="K379">
        <v>0.72579521586777795</v>
      </c>
      <c r="L379">
        <v>7.5971361101050294E-2</v>
      </c>
      <c r="M379">
        <v>6</v>
      </c>
      <c r="N379">
        <v>104.87846399999999</v>
      </c>
      <c r="O379" t="s">
        <v>20</v>
      </c>
      <c r="P379" t="s">
        <v>21</v>
      </c>
    </row>
    <row r="380" spans="1:16" x14ac:dyDescent="0.2">
      <c r="A380" t="s">
        <v>217</v>
      </c>
      <c r="B380" t="str" cm="1">
        <f t="array" ref="B380">INDEX(_xlfn.TEXTSPLIT(A380," - "),2)</f>
        <v>threesome</v>
      </c>
      <c r="C380" t="s">
        <v>33</v>
      </c>
      <c r="D380" t="s">
        <v>17</v>
      </c>
      <c r="E380">
        <v>7762776</v>
      </c>
      <c r="F380" t="s">
        <v>18</v>
      </c>
      <c r="G380">
        <v>0</v>
      </c>
      <c r="H380">
        <v>886</v>
      </c>
      <c r="I380">
        <v>1</v>
      </c>
      <c r="J380">
        <v>368.553</v>
      </c>
      <c r="K380">
        <v>0.240399616880068</v>
      </c>
      <c r="L380">
        <v>0.41597404063205401</v>
      </c>
      <c r="M380">
        <v>6</v>
      </c>
      <c r="N380">
        <v>61.4255</v>
      </c>
      <c r="O380" t="s">
        <v>20</v>
      </c>
      <c r="P380" t="s">
        <v>21</v>
      </c>
    </row>
    <row r="381" spans="1:16" x14ac:dyDescent="0.2">
      <c r="A381" t="s">
        <v>325</v>
      </c>
      <c r="B381" t="str" cm="1">
        <f t="array" ref="B381">INDEX(_xlfn.TEXTSPLIT(A381," - "),2)</f>
        <v>feet</v>
      </c>
      <c r="C381" t="s">
        <v>263</v>
      </c>
      <c r="D381" t="s">
        <v>17</v>
      </c>
      <c r="E381">
        <v>7727754</v>
      </c>
      <c r="F381" t="s">
        <v>18</v>
      </c>
      <c r="G381">
        <v>0</v>
      </c>
      <c r="H381">
        <v>618</v>
      </c>
      <c r="I381">
        <v>1</v>
      </c>
      <c r="J381">
        <v>226.33699999999999</v>
      </c>
      <c r="K381">
        <v>0.273044177487551</v>
      </c>
      <c r="L381">
        <v>0.366241100323624</v>
      </c>
      <c r="M381">
        <v>6</v>
      </c>
      <c r="N381">
        <v>37.722833333333298</v>
      </c>
      <c r="O381" t="s">
        <v>20</v>
      </c>
      <c r="P381" t="s">
        <v>21</v>
      </c>
    </row>
    <row r="382" spans="1:16" x14ac:dyDescent="0.2">
      <c r="A382" t="s">
        <v>347</v>
      </c>
      <c r="B382" t="str" cm="1">
        <f t="array" ref="B382">INDEX(_xlfn.TEXTSPLIT(A382," - "),2)</f>
        <v>public</v>
      </c>
      <c r="C382" t="s">
        <v>263</v>
      </c>
      <c r="D382" t="s">
        <v>17</v>
      </c>
      <c r="E382">
        <v>7727282</v>
      </c>
      <c r="F382" t="s">
        <v>18</v>
      </c>
      <c r="G382">
        <v>0</v>
      </c>
      <c r="H382">
        <v>694</v>
      </c>
      <c r="I382">
        <v>1</v>
      </c>
      <c r="J382">
        <v>306.16199999999998</v>
      </c>
      <c r="K382">
        <v>0.226677379949177</v>
      </c>
      <c r="L382">
        <v>0.44115561959654098</v>
      </c>
      <c r="M382">
        <v>6</v>
      </c>
      <c r="N382">
        <v>51.027000000000001</v>
      </c>
      <c r="O382" t="s">
        <v>20</v>
      </c>
      <c r="P382" t="s">
        <v>21</v>
      </c>
    </row>
    <row r="383" spans="1:16" x14ac:dyDescent="0.2">
      <c r="A383" t="s">
        <v>358</v>
      </c>
      <c r="B383" t="str" cm="1">
        <f t="array" ref="B383">INDEX(_xlfn.TEXTSPLIT(A383," - "),2)</f>
        <v>bdsm</v>
      </c>
      <c r="C383" t="s">
        <v>23</v>
      </c>
      <c r="D383" t="s">
        <v>24</v>
      </c>
      <c r="E383">
        <v>7726996</v>
      </c>
      <c r="F383" t="s">
        <v>18</v>
      </c>
      <c r="G383">
        <v>0</v>
      </c>
      <c r="H383">
        <v>306</v>
      </c>
      <c r="I383">
        <v>1.13828337587295</v>
      </c>
      <c r="J383">
        <v>151.09459702999999</v>
      </c>
      <c r="K383">
        <v>0.23052757667302001</v>
      </c>
      <c r="L383">
        <v>0.49377319290849597</v>
      </c>
      <c r="M383">
        <v>6</v>
      </c>
      <c r="N383">
        <v>25.182432838333298</v>
      </c>
      <c r="O383" t="s">
        <v>20</v>
      </c>
      <c r="P383" t="s">
        <v>21</v>
      </c>
    </row>
    <row r="384" spans="1:16" x14ac:dyDescent="0.2">
      <c r="A384" t="s">
        <v>404</v>
      </c>
      <c r="B384" t="str" cm="1">
        <f t="array" ref="B384">INDEX(_xlfn.TEXTSPLIT(A384," - "),2)</f>
        <v>Category: Asian</v>
      </c>
      <c r="C384" t="s">
        <v>33</v>
      </c>
      <c r="D384" t="s">
        <v>17</v>
      </c>
      <c r="E384">
        <v>7717996</v>
      </c>
      <c r="F384" t="s">
        <v>18</v>
      </c>
      <c r="G384">
        <v>0</v>
      </c>
      <c r="H384">
        <v>717</v>
      </c>
      <c r="I384">
        <v>1.08548237554755</v>
      </c>
      <c r="J384">
        <v>300.58418105999999</v>
      </c>
      <c r="K384">
        <v>0.25892608869933798</v>
      </c>
      <c r="L384">
        <v>0.41922479924686101</v>
      </c>
      <c r="M384">
        <v>6</v>
      </c>
      <c r="N384">
        <v>50.097363510000001</v>
      </c>
      <c r="O384" t="s">
        <v>20</v>
      </c>
      <c r="P384" t="s">
        <v>21</v>
      </c>
    </row>
    <row r="385" spans="1:16" x14ac:dyDescent="0.2">
      <c r="A385" t="s">
        <v>451</v>
      </c>
      <c r="B385" t="str" cm="1">
        <f t="array" ref="B385">INDEX(_xlfn.TEXTSPLIT(A385," - "),2)</f>
        <v>90 %]</v>
      </c>
      <c r="C385" t="s">
        <v>23</v>
      </c>
      <c r="D385" t="s">
        <v>24</v>
      </c>
      <c r="E385">
        <v>7664880</v>
      </c>
      <c r="F385" t="s">
        <v>450</v>
      </c>
      <c r="G385">
        <v>67647727</v>
      </c>
      <c r="H385">
        <v>20279</v>
      </c>
      <c r="I385">
        <v>9.9999999999999898E-3</v>
      </c>
      <c r="J385">
        <v>676.47726999999998</v>
      </c>
      <c r="K385">
        <v>2.9977356075836799E-2</v>
      </c>
      <c r="L385">
        <v>3.3358512254055901E-2</v>
      </c>
      <c r="M385">
        <v>6</v>
      </c>
      <c r="N385">
        <v>112.746211666666</v>
      </c>
      <c r="O385" t="s">
        <v>20</v>
      </c>
      <c r="P385" t="s">
        <v>21</v>
      </c>
    </row>
    <row r="386" spans="1:16" x14ac:dyDescent="0.2">
      <c r="A386" t="s">
        <v>196</v>
      </c>
      <c r="B386" t="str" cm="1">
        <f t="array" ref="B386">INDEX(_xlfn.TEXTSPLIT(A386," - "),2)</f>
        <v>pov</v>
      </c>
      <c r="C386" t="s">
        <v>23</v>
      </c>
      <c r="D386" t="s">
        <v>24</v>
      </c>
      <c r="E386">
        <v>7762848</v>
      </c>
      <c r="F386" t="s">
        <v>18</v>
      </c>
      <c r="G386">
        <v>0</v>
      </c>
      <c r="H386">
        <v>3272</v>
      </c>
      <c r="I386">
        <v>1</v>
      </c>
      <c r="J386">
        <v>482.892</v>
      </c>
      <c r="K386">
        <v>0.67758422173073896</v>
      </c>
      <c r="L386">
        <v>0.14758312958435199</v>
      </c>
      <c r="M386">
        <v>7</v>
      </c>
      <c r="N386">
        <v>68.9845714285714</v>
      </c>
      <c r="O386" t="s">
        <v>20</v>
      </c>
      <c r="P386" t="s">
        <v>21</v>
      </c>
    </row>
    <row r="387" spans="1:16" x14ac:dyDescent="0.2">
      <c r="A387" t="s">
        <v>340</v>
      </c>
      <c r="B387" t="str" cm="1">
        <f t="array" ref="B387">INDEX(_xlfn.TEXTSPLIT(A387," - "),2)</f>
        <v>lingerie</v>
      </c>
      <c r="C387" t="s">
        <v>33</v>
      </c>
      <c r="D387" t="s">
        <v>17</v>
      </c>
      <c r="E387">
        <v>7727460</v>
      </c>
      <c r="F387" t="s">
        <v>18</v>
      </c>
      <c r="G387">
        <v>0</v>
      </c>
      <c r="H387">
        <v>921</v>
      </c>
      <c r="I387">
        <v>1.0094851956977</v>
      </c>
      <c r="J387">
        <v>323.89534400999997</v>
      </c>
      <c r="K387">
        <v>0.28704823407676999</v>
      </c>
      <c r="L387">
        <v>0.35167789794788201</v>
      </c>
      <c r="M387">
        <v>7</v>
      </c>
      <c r="N387">
        <v>46.270763430000002</v>
      </c>
      <c r="O387" t="s">
        <v>20</v>
      </c>
      <c r="P387" t="s">
        <v>21</v>
      </c>
    </row>
    <row r="388" spans="1:16" x14ac:dyDescent="0.2">
      <c r="A388" t="s">
        <v>349</v>
      </c>
      <c r="B388" t="str" cm="1">
        <f t="array" ref="B388">INDEX(_xlfn.TEXTSPLIT(A388," - "),2)</f>
        <v>orgy</v>
      </c>
      <c r="C388" t="s">
        <v>263</v>
      </c>
      <c r="D388" t="s">
        <v>17</v>
      </c>
      <c r="E388">
        <v>7727240</v>
      </c>
      <c r="F388" t="s">
        <v>18</v>
      </c>
      <c r="G388">
        <v>0</v>
      </c>
      <c r="H388">
        <v>796</v>
      </c>
      <c r="I388">
        <v>1.0069346610627401</v>
      </c>
      <c r="J388">
        <v>359.60758243999999</v>
      </c>
      <c r="K388">
        <v>0.222887399861675</v>
      </c>
      <c r="L388">
        <v>0.45176831964824099</v>
      </c>
      <c r="M388">
        <v>7</v>
      </c>
      <c r="N388">
        <v>51.372511777142797</v>
      </c>
      <c r="O388" t="s">
        <v>20</v>
      </c>
      <c r="P388" t="s">
        <v>21</v>
      </c>
    </row>
    <row r="389" spans="1:16" x14ac:dyDescent="0.2">
      <c r="A389" t="s">
        <v>378</v>
      </c>
      <c r="B389" t="str" cm="1">
        <f t="array" ref="B389">INDEX(_xlfn.TEXTSPLIT(A389," - "),2)</f>
        <v>lesbian</v>
      </c>
      <c r="C389" t="s">
        <v>263</v>
      </c>
      <c r="D389" t="s">
        <v>24</v>
      </c>
      <c r="E389">
        <v>7726310</v>
      </c>
      <c r="F389" t="s">
        <v>18</v>
      </c>
      <c r="G389">
        <v>0</v>
      </c>
      <c r="H389">
        <v>1495</v>
      </c>
      <c r="I389">
        <v>0.99953463241683804</v>
      </c>
      <c r="J389">
        <v>481.93861697</v>
      </c>
      <c r="K389">
        <v>0.31006112040948802</v>
      </c>
      <c r="L389">
        <v>0.32236696787290903</v>
      </c>
      <c r="M389">
        <v>7</v>
      </c>
      <c r="N389">
        <v>68.848373852857094</v>
      </c>
      <c r="O389" t="s">
        <v>20</v>
      </c>
      <c r="P389" t="s">
        <v>21</v>
      </c>
    </row>
    <row r="390" spans="1:16" x14ac:dyDescent="0.2">
      <c r="A390" t="s">
        <v>401</v>
      </c>
      <c r="B390" t="str" cm="1">
        <f t="array" ref="B390">INDEX(_xlfn.TEXTSPLIT(A390," - "),2)</f>
        <v>Category: Latina</v>
      </c>
      <c r="C390" t="s">
        <v>23</v>
      </c>
      <c r="D390" t="s">
        <v>24</v>
      </c>
      <c r="E390">
        <v>7718034</v>
      </c>
      <c r="F390" t="s">
        <v>18</v>
      </c>
      <c r="G390">
        <v>0</v>
      </c>
      <c r="H390">
        <v>1410</v>
      </c>
      <c r="I390">
        <v>1</v>
      </c>
      <c r="J390">
        <v>532.226</v>
      </c>
      <c r="K390">
        <v>0.264925050636383</v>
      </c>
      <c r="L390">
        <v>0.37746524822694999</v>
      </c>
      <c r="M390">
        <v>7</v>
      </c>
      <c r="N390">
        <v>76.032285714285706</v>
      </c>
      <c r="O390" t="s">
        <v>20</v>
      </c>
      <c r="P390" t="s">
        <v>21</v>
      </c>
    </row>
    <row r="391" spans="1:16" x14ac:dyDescent="0.2">
      <c r="A391" t="s">
        <v>98</v>
      </c>
      <c r="B391" t="str" cm="1">
        <f t="array" ref="B391">INDEX(_xlfn.TEXTSPLIT(A391," - "),2)</f>
        <v>Handjob</v>
      </c>
      <c r="C391" t="s">
        <v>33</v>
      </c>
      <c r="D391" t="s">
        <v>24</v>
      </c>
      <c r="E391">
        <v>7790660</v>
      </c>
      <c r="F391" t="s">
        <v>18</v>
      </c>
      <c r="G391">
        <v>0</v>
      </c>
      <c r="H391">
        <v>3706</v>
      </c>
      <c r="I391">
        <v>0.52925458969211403</v>
      </c>
      <c r="J391">
        <v>691.24248345000001</v>
      </c>
      <c r="K391">
        <v>0.28375245393042298</v>
      </c>
      <c r="L391">
        <v>0.18651982823799201</v>
      </c>
      <c r="M391">
        <v>8</v>
      </c>
      <c r="N391">
        <v>86.405310431250001</v>
      </c>
      <c r="O391" t="s">
        <v>20</v>
      </c>
      <c r="P391" t="s">
        <v>21</v>
      </c>
    </row>
    <row r="392" spans="1:16" x14ac:dyDescent="0.2">
      <c r="A392" t="s">
        <v>351</v>
      </c>
      <c r="B392" t="str" cm="1">
        <f t="array" ref="B392">INDEX(_xlfn.TEXTSPLIT(A392," - "),2)</f>
        <v>cuckold</v>
      </c>
      <c r="C392" t="s">
        <v>33</v>
      </c>
      <c r="D392" t="s">
        <v>24</v>
      </c>
      <c r="E392">
        <v>7727174</v>
      </c>
      <c r="F392" t="s">
        <v>18</v>
      </c>
      <c r="G392">
        <v>0</v>
      </c>
      <c r="H392">
        <v>896</v>
      </c>
      <c r="I392">
        <v>1.05317349474662</v>
      </c>
      <c r="J392">
        <v>471.51841167999999</v>
      </c>
      <c r="K392">
        <v>0.20012865413479999</v>
      </c>
      <c r="L392">
        <v>0.52624822732142795</v>
      </c>
      <c r="M392">
        <v>8</v>
      </c>
      <c r="N392">
        <v>58.939801459999998</v>
      </c>
      <c r="O392" t="s">
        <v>20</v>
      </c>
      <c r="P392" t="s">
        <v>21</v>
      </c>
    </row>
    <row r="393" spans="1:16" x14ac:dyDescent="0.2">
      <c r="A393" t="s">
        <v>464</v>
      </c>
      <c r="B393" t="str" cm="1">
        <f t="array" ref="B393">INDEX(_xlfn.TEXTSPLIT(A393," - "),2)</f>
        <v>20 %]</v>
      </c>
      <c r="C393" t="s">
        <v>23</v>
      </c>
      <c r="D393" t="s">
        <v>24</v>
      </c>
      <c r="E393">
        <v>7627356</v>
      </c>
      <c r="F393" t="s">
        <v>18</v>
      </c>
      <c r="G393">
        <v>0</v>
      </c>
      <c r="H393">
        <v>2874</v>
      </c>
      <c r="I393">
        <v>1.8009999999999999</v>
      </c>
      <c r="J393">
        <v>846.18003899999997</v>
      </c>
      <c r="K393">
        <v>0.61169890111293401</v>
      </c>
      <c r="L393">
        <v>0.29442590083507297</v>
      </c>
      <c r="M393">
        <v>8</v>
      </c>
      <c r="N393">
        <v>105.772504875</v>
      </c>
      <c r="O393" t="s">
        <v>20</v>
      </c>
      <c r="P393">
        <v>71</v>
      </c>
    </row>
    <row r="394" spans="1:16" x14ac:dyDescent="0.2">
      <c r="A394" t="s">
        <v>269</v>
      </c>
      <c r="B394" t="str" cm="1">
        <f t="array" ref="B394">INDEX(_xlfn.TEXTSPLIT(A394," - "),2)</f>
        <v>demon</v>
      </c>
      <c r="C394" t="s">
        <v>263</v>
      </c>
      <c r="D394" t="s">
        <v>17</v>
      </c>
      <c r="E394">
        <v>7744116</v>
      </c>
      <c r="F394" t="s">
        <v>18</v>
      </c>
      <c r="G394">
        <v>0</v>
      </c>
      <c r="H394">
        <v>1607</v>
      </c>
      <c r="I394">
        <v>1.6179486212110901</v>
      </c>
      <c r="J394">
        <v>502.87299301000002</v>
      </c>
      <c r="K394">
        <v>0.517037794915848</v>
      </c>
      <c r="L394">
        <v>0.31292656690105702</v>
      </c>
      <c r="M394">
        <v>9</v>
      </c>
      <c r="N394">
        <v>55.874777001111099</v>
      </c>
      <c r="O394" t="s">
        <v>20</v>
      </c>
      <c r="P394" t="s">
        <v>21</v>
      </c>
    </row>
    <row r="395" spans="1:16" x14ac:dyDescent="0.2">
      <c r="A395" t="s">
        <v>365</v>
      </c>
      <c r="B395" t="str" cm="1">
        <f t="array" ref="B395">INDEX(_xlfn.TEXTSPLIT(A395," - "),2)</f>
        <v>squirt</v>
      </c>
      <c r="C395" t="s">
        <v>23</v>
      </c>
      <c r="D395" t="s">
        <v>24</v>
      </c>
      <c r="E395">
        <v>7726798</v>
      </c>
      <c r="F395" t="s">
        <v>18</v>
      </c>
      <c r="G395">
        <v>0</v>
      </c>
      <c r="H395">
        <v>966</v>
      </c>
      <c r="I395">
        <v>1.30073303051061</v>
      </c>
      <c r="J395">
        <v>408.24546749000001</v>
      </c>
      <c r="K395">
        <v>0.30778250036640697</v>
      </c>
      <c r="L395">
        <v>0.42261435557971</v>
      </c>
      <c r="M395">
        <v>9</v>
      </c>
      <c r="N395">
        <v>45.360607498888797</v>
      </c>
      <c r="O395" t="s">
        <v>20</v>
      </c>
      <c r="P395" t="s">
        <v>21</v>
      </c>
    </row>
    <row r="396" spans="1:16" x14ac:dyDescent="0.2">
      <c r="A396" t="s">
        <v>262</v>
      </c>
      <c r="B396" t="str" cm="1">
        <f t="array" ref="B396">INDEX(_xlfn.TEXTSPLIT(A396," - "),2)</f>
        <v>misty</v>
      </c>
      <c r="C396" t="s">
        <v>263</v>
      </c>
      <c r="D396" t="s">
        <v>24</v>
      </c>
      <c r="E396">
        <v>7744188</v>
      </c>
      <c r="F396" t="s">
        <v>18</v>
      </c>
      <c r="G396">
        <v>0</v>
      </c>
      <c r="H396">
        <v>1334</v>
      </c>
      <c r="I396">
        <v>1.69964947614569</v>
      </c>
      <c r="J396">
        <v>800.61478679000004</v>
      </c>
      <c r="K396">
        <v>0.28319891645631901</v>
      </c>
      <c r="L396">
        <v>0.60016100958770602</v>
      </c>
      <c r="M396">
        <v>10</v>
      </c>
      <c r="N396">
        <v>80.061478679000004</v>
      </c>
      <c r="O396" t="s">
        <v>20</v>
      </c>
      <c r="P396" t="s">
        <v>21</v>
      </c>
    </row>
    <row r="397" spans="1:16" x14ac:dyDescent="0.2">
      <c r="A397" t="s">
        <v>281</v>
      </c>
      <c r="B397" t="str" cm="1">
        <f t="array" ref="B397">INDEX(_xlfn.TEXTSPLIT(A397," - "),2)</f>
        <v>dental</v>
      </c>
      <c r="C397" t="s">
        <v>23</v>
      </c>
      <c r="D397" t="s">
        <v>24</v>
      </c>
      <c r="E397">
        <v>7728902</v>
      </c>
      <c r="F397" t="s">
        <v>18</v>
      </c>
      <c r="G397">
        <v>0</v>
      </c>
      <c r="H397">
        <v>2377</v>
      </c>
      <c r="I397">
        <v>1.6673190406094001</v>
      </c>
      <c r="J397">
        <v>1078.41528619</v>
      </c>
      <c r="K397">
        <v>0.36750381882386401</v>
      </c>
      <c r="L397">
        <v>0.45368754151872098</v>
      </c>
      <c r="M397">
        <v>10</v>
      </c>
      <c r="N397">
        <v>107.841528619</v>
      </c>
      <c r="O397" t="s">
        <v>20</v>
      </c>
      <c r="P397" t="s">
        <v>21</v>
      </c>
    </row>
    <row r="398" spans="1:16" x14ac:dyDescent="0.2">
      <c r="A398" t="s">
        <v>352</v>
      </c>
      <c r="B398" t="str" cm="1">
        <f t="array" ref="B398">INDEX(_xlfn.TEXTSPLIT(A398," - "),2)</f>
        <v>stepsister</v>
      </c>
      <c r="C398" t="s">
        <v>23</v>
      </c>
      <c r="D398" t="s">
        <v>24</v>
      </c>
      <c r="E398">
        <v>7727154</v>
      </c>
      <c r="F398" t="s">
        <v>18</v>
      </c>
      <c r="G398">
        <v>0</v>
      </c>
      <c r="H398">
        <v>1190</v>
      </c>
      <c r="I398">
        <v>1.49690241547602</v>
      </c>
      <c r="J398">
        <v>465.59053970000002</v>
      </c>
      <c r="K398">
        <v>0.38259236872902103</v>
      </c>
      <c r="L398">
        <v>0.39125255436974699</v>
      </c>
      <c r="M398">
        <v>10</v>
      </c>
      <c r="N398">
        <v>46.559053970000001</v>
      </c>
      <c r="O398" t="s">
        <v>20</v>
      </c>
      <c r="P398" t="s">
        <v>21</v>
      </c>
    </row>
    <row r="399" spans="1:16" x14ac:dyDescent="0.2">
      <c r="A399" t="s">
        <v>239</v>
      </c>
      <c r="B399" t="str" cm="1">
        <f t="array" ref="B399">INDEX(_xlfn.TEXTSPLIT(A399," - "),2)</f>
        <v>Gay</v>
      </c>
      <c r="C399" t="s">
        <v>16</v>
      </c>
      <c r="D399" t="s">
        <v>24</v>
      </c>
      <c r="E399">
        <v>7757662</v>
      </c>
      <c r="F399" t="s">
        <v>18</v>
      </c>
      <c r="G399">
        <v>0</v>
      </c>
      <c r="H399">
        <v>24965</v>
      </c>
      <c r="I399">
        <v>0.67463861118563995</v>
      </c>
      <c r="J399">
        <v>995.71801613000002</v>
      </c>
      <c r="K399">
        <v>1.6914781750871299</v>
      </c>
      <c r="L399">
        <v>3.9884559027838898E-2</v>
      </c>
      <c r="M399">
        <v>12</v>
      </c>
      <c r="N399">
        <v>82.976501344166607</v>
      </c>
      <c r="O399" t="s">
        <v>20</v>
      </c>
      <c r="P399" t="s">
        <v>21</v>
      </c>
    </row>
    <row r="400" spans="1:16" x14ac:dyDescent="0.2">
      <c r="A400" t="s">
        <v>366</v>
      </c>
      <c r="B400" t="str" cm="1">
        <f t="array" ref="B400">INDEX(_xlfn.TEXTSPLIT(A400," - "),2)</f>
        <v>pov</v>
      </c>
      <c r="C400" t="s">
        <v>23</v>
      </c>
      <c r="D400" t="s">
        <v>24</v>
      </c>
      <c r="E400">
        <v>7726754</v>
      </c>
      <c r="F400" t="s">
        <v>18</v>
      </c>
      <c r="G400">
        <v>0</v>
      </c>
      <c r="H400">
        <v>1726</v>
      </c>
      <c r="I400">
        <v>1.3112055769430799</v>
      </c>
      <c r="J400">
        <v>781.46016698000005</v>
      </c>
      <c r="K400">
        <v>0.28960411821754201</v>
      </c>
      <c r="L400">
        <v>0.45275791829663897</v>
      </c>
      <c r="M400">
        <v>13</v>
      </c>
      <c r="N400">
        <v>60.112320536923001</v>
      </c>
      <c r="O400" t="s">
        <v>20</v>
      </c>
      <c r="P400" t="s">
        <v>21</v>
      </c>
    </row>
    <row r="401" spans="1:16" x14ac:dyDescent="0.2">
      <c r="A401" t="s">
        <v>22</v>
      </c>
      <c r="B401" t="str" cm="1">
        <f t="array" ref="B401">INDEX(_xlfn.TEXTSPLIT(A401," - "),2)</f>
        <v>Xvideos Hentai</v>
      </c>
      <c r="C401" t="s">
        <v>23</v>
      </c>
      <c r="D401" t="s">
        <v>24</v>
      </c>
      <c r="E401">
        <v>7796812</v>
      </c>
      <c r="F401" t="s">
        <v>18</v>
      </c>
      <c r="G401">
        <v>0</v>
      </c>
      <c r="H401">
        <v>24644</v>
      </c>
      <c r="I401">
        <v>0.57099999999997797</v>
      </c>
      <c r="J401">
        <v>2631.2782029998998</v>
      </c>
      <c r="K401">
        <v>0.53478662894544504</v>
      </c>
      <c r="L401">
        <v>0.106771555064108</v>
      </c>
      <c r="M401">
        <v>17</v>
      </c>
      <c r="N401">
        <v>154.78107076469999</v>
      </c>
      <c r="O401" t="s">
        <v>20</v>
      </c>
      <c r="P401">
        <v>162</v>
      </c>
    </row>
    <row r="402" spans="1:16" x14ac:dyDescent="0.2">
      <c r="A402" t="s">
        <v>114</v>
      </c>
      <c r="B402" t="str" cm="1">
        <f t="array" ref="B402">INDEX(_xlfn.TEXTSPLIT(A402," - "),2)</f>
        <v>Category: Squirting</v>
      </c>
      <c r="C402" t="s">
        <v>42</v>
      </c>
      <c r="D402" t="s">
        <v>24</v>
      </c>
      <c r="E402">
        <v>7790420</v>
      </c>
      <c r="F402" t="s">
        <v>18</v>
      </c>
      <c r="G402">
        <v>0</v>
      </c>
      <c r="H402">
        <v>6951</v>
      </c>
      <c r="I402">
        <v>1.1167288580138399</v>
      </c>
      <c r="J402">
        <v>1470.8044933799999</v>
      </c>
      <c r="K402">
        <v>0.52776438520498203</v>
      </c>
      <c r="L402">
        <v>0.21159610032800999</v>
      </c>
      <c r="M402">
        <v>18</v>
      </c>
      <c r="N402">
        <v>81.711360743333302</v>
      </c>
      <c r="O402" t="s">
        <v>20</v>
      </c>
      <c r="P402" t="s">
        <v>21</v>
      </c>
    </row>
    <row r="403" spans="1:16" x14ac:dyDescent="0.2">
      <c r="A403" t="s">
        <v>373</v>
      </c>
      <c r="B403" t="str" cm="1">
        <f t="array" ref="B403">INDEX(_xlfn.TEXTSPLIT(A403," - "),2)</f>
        <v>threesome</v>
      </c>
      <c r="C403" t="s">
        <v>23</v>
      </c>
      <c r="D403" t="s">
        <v>24</v>
      </c>
      <c r="E403">
        <v>7726516</v>
      </c>
      <c r="F403" t="s">
        <v>18</v>
      </c>
      <c r="G403">
        <v>0</v>
      </c>
      <c r="H403">
        <v>2382</v>
      </c>
      <c r="I403">
        <v>1.51289084256252</v>
      </c>
      <c r="J403">
        <v>1175.0653431999999</v>
      </c>
      <c r="K403">
        <v>0.30668132694392403</v>
      </c>
      <c r="L403">
        <v>0.49331038757346701</v>
      </c>
      <c r="M403">
        <v>19</v>
      </c>
      <c r="N403">
        <v>61.845544378947302</v>
      </c>
      <c r="O403" t="s">
        <v>20</v>
      </c>
      <c r="P403" t="s">
        <v>21</v>
      </c>
    </row>
    <row r="404" spans="1:16" x14ac:dyDescent="0.2">
      <c r="A404" t="s">
        <v>41</v>
      </c>
      <c r="B404" t="str" cm="1">
        <f t="array" ref="B404">INDEX(_xlfn.TEXTSPLIT(A404," - "),2)</f>
        <v>Disney</v>
      </c>
      <c r="C404" t="s">
        <v>42</v>
      </c>
      <c r="D404" t="s">
        <v>17</v>
      </c>
      <c r="E404">
        <v>7791462</v>
      </c>
      <c r="F404" t="s">
        <v>18</v>
      </c>
      <c r="G404">
        <v>0</v>
      </c>
      <c r="H404">
        <v>6587</v>
      </c>
      <c r="I404">
        <v>1.1339511142693299</v>
      </c>
      <c r="J404">
        <v>1499.22171509999</v>
      </c>
      <c r="K404">
        <v>0.49821423438986701</v>
      </c>
      <c r="L404">
        <v>0.22760311448307199</v>
      </c>
      <c r="M404">
        <v>24</v>
      </c>
      <c r="N404">
        <v>62.467571462499897</v>
      </c>
      <c r="O404" t="s">
        <v>20</v>
      </c>
      <c r="P404" t="s">
        <v>21</v>
      </c>
    </row>
    <row r="405" spans="1:16" x14ac:dyDescent="0.2">
      <c r="A405" t="s">
        <v>243</v>
      </c>
      <c r="B405" t="str" cm="1">
        <f t="array" ref="B405">INDEX(_xlfn.TEXTSPLIT(A405," - "),2)</f>
        <v>Gay</v>
      </c>
      <c r="C405" t="s">
        <v>23</v>
      </c>
      <c r="D405" t="s">
        <v>24</v>
      </c>
      <c r="E405">
        <v>7754986</v>
      </c>
      <c r="F405" t="s">
        <v>18</v>
      </c>
      <c r="G405">
        <v>0</v>
      </c>
      <c r="H405">
        <v>44852</v>
      </c>
      <c r="I405">
        <v>1.0212151293349701</v>
      </c>
      <c r="J405">
        <v>1842.2302235</v>
      </c>
      <c r="K405">
        <v>2.4863092786476799</v>
      </c>
      <c r="L405">
        <v>4.1073535706323001E-2</v>
      </c>
      <c r="M405">
        <v>26</v>
      </c>
      <c r="N405">
        <v>70.855008596153795</v>
      </c>
      <c r="O405" t="s">
        <v>20</v>
      </c>
      <c r="P405" t="s">
        <v>21</v>
      </c>
    </row>
    <row r="406" spans="1:16" x14ac:dyDescent="0.2">
      <c r="A406" t="s">
        <v>49</v>
      </c>
      <c r="B406" t="str" cm="1">
        <f t="array" ref="B406">INDEX(_xlfn.TEXTSPLIT(A406," - "),2)</f>
        <v>squirt</v>
      </c>
      <c r="C406" t="s">
        <v>42</v>
      </c>
      <c r="D406" t="s">
        <v>24</v>
      </c>
      <c r="E406">
        <v>7791400</v>
      </c>
      <c r="F406" t="s">
        <v>18</v>
      </c>
      <c r="G406">
        <v>0</v>
      </c>
      <c r="H406">
        <v>8980</v>
      </c>
      <c r="I406">
        <v>1.3721172037414999</v>
      </c>
      <c r="J406">
        <v>2383.0039718399998</v>
      </c>
      <c r="K406">
        <v>0.51706218853192898</v>
      </c>
      <c r="L406">
        <v>0.265367925594654</v>
      </c>
      <c r="M406">
        <v>30</v>
      </c>
      <c r="N406">
        <v>79.433465728000002</v>
      </c>
      <c r="O406" t="s">
        <v>20</v>
      </c>
      <c r="P406" t="s">
        <v>21</v>
      </c>
    </row>
    <row r="407" spans="1:16" x14ac:dyDescent="0.2">
      <c r="A407" t="s">
        <v>244</v>
      </c>
      <c r="B407" t="str" cm="1">
        <f t="array" ref="B407">INDEX(_xlfn.TEXTSPLIT(A407," - "),2)</f>
        <v>Gay</v>
      </c>
      <c r="C407" t="s">
        <v>16</v>
      </c>
      <c r="D407" t="s">
        <v>24</v>
      </c>
      <c r="E407">
        <v>7754984</v>
      </c>
      <c r="F407" t="s">
        <v>18</v>
      </c>
      <c r="G407">
        <v>0</v>
      </c>
      <c r="H407">
        <v>79361</v>
      </c>
      <c r="I407">
        <v>0.62057233187515504</v>
      </c>
      <c r="J407">
        <v>2065.6265141499998</v>
      </c>
      <c r="K407">
        <v>2.3842277629850299</v>
      </c>
      <c r="L407">
        <v>2.6028231929411099E-2</v>
      </c>
      <c r="M407">
        <v>31</v>
      </c>
      <c r="N407">
        <v>66.633113359677395</v>
      </c>
      <c r="O407" t="s">
        <v>20</v>
      </c>
      <c r="P407" t="s">
        <v>21</v>
      </c>
    </row>
    <row r="408" spans="1:16" x14ac:dyDescent="0.2">
      <c r="A408" t="s">
        <v>453</v>
      </c>
      <c r="B408" t="str" cm="1">
        <f t="array" ref="B408">INDEX(_xlfn.TEXTSPLIT(A408," - "),2)</f>
        <v>Xvideos Hentai Footer</v>
      </c>
      <c r="C408" t="s">
        <v>23</v>
      </c>
      <c r="D408" t="s">
        <v>24</v>
      </c>
      <c r="E408">
        <v>7664876</v>
      </c>
      <c r="F408" t="s">
        <v>450</v>
      </c>
      <c r="G408">
        <v>238921615</v>
      </c>
      <c r="H408">
        <v>226511</v>
      </c>
      <c r="I408">
        <v>9.9999999999999898E-3</v>
      </c>
      <c r="J408">
        <v>2389.2161499999902</v>
      </c>
      <c r="K408">
        <v>9.4805570437819106E-2</v>
      </c>
      <c r="L408">
        <v>1.05479034130792E-2</v>
      </c>
      <c r="M408">
        <v>31</v>
      </c>
      <c r="N408">
        <v>77.071488709677396</v>
      </c>
      <c r="O408" t="s">
        <v>20</v>
      </c>
      <c r="P408" t="s">
        <v>21</v>
      </c>
    </row>
    <row r="409" spans="1:16" x14ac:dyDescent="0.2">
      <c r="A409" t="s">
        <v>29</v>
      </c>
      <c r="B409" t="str" cm="1">
        <f t="array" ref="B409">INDEX(_xlfn.TEXTSPLIT(A409," - "),2)</f>
        <v>Xvideos Anal</v>
      </c>
      <c r="C409" t="s">
        <v>23</v>
      </c>
      <c r="D409" t="s">
        <v>24</v>
      </c>
      <c r="E409">
        <v>7796802</v>
      </c>
      <c r="F409" t="s">
        <v>18</v>
      </c>
      <c r="G409">
        <v>0</v>
      </c>
      <c r="H409">
        <v>12002</v>
      </c>
      <c r="I409">
        <v>1.7</v>
      </c>
      <c r="J409">
        <v>4936.3375999999998</v>
      </c>
      <c r="K409">
        <v>0.41333072519189101</v>
      </c>
      <c r="L409">
        <v>0.41129291784702499</v>
      </c>
      <c r="M409">
        <v>33</v>
      </c>
      <c r="N409">
        <v>149.58598787878699</v>
      </c>
      <c r="O409" t="s">
        <v>20</v>
      </c>
      <c r="P409">
        <v>343</v>
      </c>
    </row>
    <row r="410" spans="1:16" x14ac:dyDescent="0.2">
      <c r="A410" t="s">
        <v>167</v>
      </c>
      <c r="B410" t="str" cm="1">
        <f t="array" ref="B410">INDEX(_xlfn.TEXTSPLIT(A410," - "),2)</f>
        <v>10 %]</v>
      </c>
      <c r="C410" t="s">
        <v>23</v>
      </c>
      <c r="D410" t="s">
        <v>24</v>
      </c>
      <c r="E410">
        <v>7765846</v>
      </c>
      <c r="F410" t="s">
        <v>18</v>
      </c>
      <c r="G410">
        <v>0</v>
      </c>
      <c r="H410">
        <v>9803</v>
      </c>
      <c r="I410">
        <v>1.9000000000000501</v>
      </c>
      <c r="J410">
        <v>3441.8101000001002</v>
      </c>
      <c r="K410">
        <v>0.54116001344757503</v>
      </c>
      <c r="L410">
        <v>0.35109763337754701</v>
      </c>
      <c r="M410">
        <v>33</v>
      </c>
      <c r="N410">
        <v>104.29727575757801</v>
      </c>
      <c r="O410" t="s">
        <v>20</v>
      </c>
      <c r="P410">
        <v>304</v>
      </c>
    </row>
    <row r="411" spans="1:16" x14ac:dyDescent="0.2">
      <c r="A411" t="s">
        <v>454</v>
      </c>
      <c r="B411" t="str" cm="1">
        <f t="array" ref="B411">INDEX(_xlfn.TEXTSPLIT(A411," - "),2)</f>
        <v>85 %]</v>
      </c>
      <c r="C411" t="s">
        <v>455</v>
      </c>
      <c r="D411" t="s">
        <v>17</v>
      </c>
      <c r="E411">
        <v>7664864</v>
      </c>
      <c r="F411" t="s">
        <v>18</v>
      </c>
      <c r="G411">
        <v>0</v>
      </c>
      <c r="H411">
        <v>4866</v>
      </c>
      <c r="I411">
        <v>2.44</v>
      </c>
      <c r="J411">
        <v>2564.6839999999902</v>
      </c>
      <c r="K411">
        <v>0.46294358291313797</v>
      </c>
      <c r="L411">
        <v>0.52706206329634098</v>
      </c>
      <c r="M411">
        <v>37</v>
      </c>
      <c r="N411">
        <v>69.315783783783701</v>
      </c>
      <c r="O411" t="s">
        <v>20</v>
      </c>
      <c r="P411">
        <v>94</v>
      </c>
    </row>
    <row r="412" spans="1:16" x14ac:dyDescent="0.2">
      <c r="A412" t="s">
        <v>166</v>
      </c>
      <c r="B412" t="str" cm="1">
        <f t="array" ref="B412">INDEX(_xlfn.TEXTSPLIT(A412," - "),2)</f>
        <v>50 %]</v>
      </c>
      <c r="C412" t="s">
        <v>23</v>
      </c>
      <c r="D412" t="s">
        <v>24</v>
      </c>
      <c r="E412">
        <v>7765852</v>
      </c>
      <c r="F412" t="s">
        <v>18</v>
      </c>
      <c r="G412">
        <v>0</v>
      </c>
      <c r="H412">
        <v>9568</v>
      </c>
      <c r="I412">
        <v>2.4900000000000002</v>
      </c>
      <c r="J412">
        <v>4033.6680299999998</v>
      </c>
      <c r="K412">
        <v>0.59063660724702705</v>
      </c>
      <c r="L412">
        <v>0.42157901651337798</v>
      </c>
      <c r="M412">
        <v>38</v>
      </c>
      <c r="N412">
        <v>106.14915868420999</v>
      </c>
      <c r="O412" t="s">
        <v>20</v>
      </c>
      <c r="P412">
        <v>357</v>
      </c>
    </row>
    <row r="413" spans="1:16" x14ac:dyDescent="0.2">
      <c r="A413" t="s">
        <v>245</v>
      </c>
      <c r="B413" t="str" cm="1">
        <f t="array" ref="B413">INDEX(_xlfn.TEXTSPLIT(A413," - "),2)</f>
        <v>Gay</v>
      </c>
      <c r="C413" t="s">
        <v>16</v>
      </c>
      <c r="D413" t="s">
        <v>17</v>
      </c>
      <c r="E413">
        <v>7754982</v>
      </c>
      <c r="F413" t="s">
        <v>18</v>
      </c>
      <c r="G413">
        <v>0</v>
      </c>
      <c r="H413">
        <v>51847</v>
      </c>
      <c r="I413">
        <v>0.70219216324328704</v>
      </c>
      <c r="J413">
        <v>2283.0851294200002</v>
      </c>
      <c r="K413">
        <v>1.5946210948745201</v>
      </c>
      <c r="L413">
        <v>4.4035047918298001E-2</v>
      </c>
      <c r="M413">
        <v>38</v>
      </c>
      <c r="N413">
        <v>60.081187616315702</v>
      </c>
      <c r="O413" t="s">
        <v>20</v>
      </c>
      <c r="P413" t="s">
        <v>21</v>
      </c>
    </row>
    <row r="414" spans="1:16" x14ac:dyDescent="0.2">
      <c r="A414" t="s">
        <v>383</v>
      </c>
      <c r="B414" t="str" cm="1">
        <f t="array" ref="B414">INDEX(_xlfn.TEXTSPLIT(A414," - "),2)</f>
        <v>AI</v>
      </c>
      <c r="C414" t="s">
        <v>23</v>
      </c>
      <c r="D414" t="s">
        <v>24</v>
      </c>
      <c r="E414">
        <v>7718270</v>
      </c>
      <c r="F414" t="s">
        <v>18</v>
      </c>
      <c r="G414">
        <v>0</v>
      </c>
      <c r="H414">
        <v>8001</v>
      </c>
      <c r="I414">
        <v>1.67494086039023</v>
      </c>
      <c r="J414">
        <v>3851.1228477199902</v>
      </c>
      <c r="K414">
        <v>0.347981675835562</v>
      </c>
      <c r="L414">
        <v>0.48133018969128799</v>
      </c>
      <c r="M414">
        <v>42</v>
      </c>
      <c r="N414">
        <v>91.693401136190403</v>
      </c>
      <c r="O414" t="s">
        <v>20</v>
      </c>
      <c r="P414" t="s">
        <v>21</v>
      </c>
    </row>
    <row r="415" spans="1:16" x14ac:dyDescent="0.2">
      <c r="A415" t="s">
        <v>452</v>
      </c>
      <c r="B415" t="str" cm="1">
        <f t="array" ref="B415">INDEX(_xlfn.TEXTSPLIT(A415," - "),2)</f>
        <v>90 %]</v>
      </c>
      <c r="C415" t="s">
        <v>23</v>
      </c>
      <c r="D415" t="s">
        <v>24</v>
      </c>
      <c r="E415">
        <v>7664878</v>
      </c>
      <c r="F415" t="s">
        <v>450</v>
      </c>
      <c r="G415">
        <v>117236255</v>
      </c>
      <c r="H415">
        <v>50788</v>
      </c>
      <c r="I415">
        <v>0.04</v>
      </c>
      <c r="J415">
        <v>4689.4502000000002</v>
      </c>
      <c r="K415">
        <v>4.3321069919881001E-2</v>
      </c>
      <c r="L415">
        <v>9.2333822950303193E-2</v>
      </c>
      <c r="M415">
        <v>45</v>
      </c>
      <c r="N415">
        <v>104.210004444444</v>
      </c>
      <c r="O415" t="s">
        <v>20</v>
      </c>
      <c r="P415" t="s">
        <v>21</v>
      </c>
    </row>
    <row r="416" spans="1:16" x14ac:dyDescent="0.2">
      <c r="A416" t="s">
        <v>465</v>
      </c>
      <c r="B416" t="str" cm="1">
        <f t="array" ref="B416">INDEX(_xlfn.TEXTSPLIT(A416," - "),2)</f>
        <v>20 %]</v>
      </c>
      <c r="C416" t="s">
        <v>23</v>
      </c>
      <c r="D416" t="s">
        <v>24</v>
      </c>
      <c r="E416">
        <v>7627354</v>
      </c>
      <c r="F416" t="s">
        <v>18</v>
      </c>
      <c r="G416">
        <v>0</v>
      </c>
      <c r="H416">
        <v>13291</v>
      </c>
      <c r="I416">
        <v>1.9770000000000001</v>
      </c>
      <c r="J416">
        <v>3690.4224060000001</v>
      </c>
      <c r="K416">
        <v>0.71201353420354196</v>
      </c>
      <c r="L416">
        <v>0.27766326130464197</v>
      </c>
      <c r="M416">
        <v>46</v>
      </c>
      <c r="N416">
        <v>80.226574043478195</v>
      </c>
      <c r="O416" t="s">
        <v>20</v>
      </c>
      <c r="P416">
        <v>460</v>
      </c>
    </row>
    <row r="417" spans="1:16" x14ac:dyDescent="0.2">
      <c r="A417" t="s">
        <v>460</v>
      </c>
      <c r="B417" t="str" cm="1">
        <f t="array" ref="B417">INDEX(_xlfn.TEXTSPLIT(A417," - "),2)</f>
        <v>Xvideos MILF</v>
      </c>
      <c r="C417" t="s">
        <v>23</v>
      </c>
      <c r="D417" t="s">
        <v>24</v>
      </c>
      <c r="E417">
        <v>7627366</v>
      </c>
      <c r="F417" t="s">
        <v>18</v>
      </c>
      <c r="G417">
        <v>0</v>
      </c>
      <c r="H417">
        <v>9938</v>
      </c>
      <c r="I417">
        <v>1.8009999999999999</v>
      </c>
      <c r="J417">
        <v>3839.926508</v>
      </c>
      <c r="K417">
        <v>0.46611147277717602</v>
      </c>
      <c r="L417">
        <v>0.38638825799959697</v>
      </c>
      <c r="M417">
        <v>47</v>
      </c>
      <c r="N417">
        <v>81.700564</v>
      </c>
      <c r="O417" t="s">
        <v>20</v>
      </c>
      <c r="P417">
        <v>68</v>
      </c>
    </row>
    <row r="418" spans="1:16" x14ac:dyDescent="0.2">
      <c r="A418" t="s">
        <v>421</v>
      </c>
      <c r="B418" t="str" cm="1">
        <f t="array" ref="B418">INDEX(_xlfn.TEXTSPLIT(A418," - "),2)</f>
        <v>Category: Cartoons/Hentai</v>
      </c>
      <c r="C418" t="s">
        <v>42</v>
      </c>
      <c r="D418" t="s">
        <v>17</v>
      </c>
      <c r="E418">
        <v>7717876</v>
      </c>
      <c r="F418" t="s">
        <v>18</v>
      </c>
      <c r="G418">
        <v>0</v>
      </c>
      <c r="H418">
        <v>19395</v>
      </c>
      <c r="I418">
        <v>1.4192428906075001</v>
      </c>
      <c r="J418">
        <v>3904.4053157200001</v>
      </c>
      <c r="K418">
        <v>0.70500405663587096</v>
      </c>
      <c r="L418">
        <v>0.201309889957205</v>
      </c>
      <c r="M418">
        <v>73</v>
      </c>
      <c r="N418">
        <v>53.485004324931502</v>
      </c>
      <c r="O418" t="s">
        <v>20</v>
      </c>
      <c r="P418" t="s">
        <v>21</v>
      </c>
    </row>
    <row r="419" spans="1:16" x14ac:dyDescent="0.2">
      <c r="A419" t="s">
        <v>449</v>
      </c>
      <c r="B419" t="str" cm="1">
        <f t="array" ref="B419">INDEX(_xlfn.TEXTSPLIT(A419," - "),2)</f>
        <v>80 %]</v>
      </c>
      <c r="C419" t="s">
        <v>248</v>
      </c>
      <c r="D419" t="s">
        <v>17</v>
      </c>
      <c r="E419">
        <v>7705340</v>
      </c>
      <c r="F419" t="s">
        <v>450</v>
      </c>
      <c r="G419">
        <v>282674095</v>
      </c>
      <c r="H419">
        <v>186028</v>
      </c>
      <c r="I419">
        <v>5.2999999999999999E-2</v>
      </c>
      <c r="J419">
        <v>14981.727035</v>
      </c>
      <c r="K419">
        <v>6.5810062998521296E-2</v>
      </c>
      <c r="L419">
        <v>8.0534796025329494E-2</v>
      </c>
      <c r="M419">
        <v>79</v>
      </c>
      <c r="N419">
        <v>189.642114367088</v>
      </c>
      <c r="O419" t="s">
        <v>20</v>
      </c>
      <c r="P419">
        <v>584</v>
      </c>
    </row>
    <row r="420" spans="1:16" x14ac:dyDescent="0.2">
      <c r="A420" t="s">
        <v>247</v>
      </c>
      <c r="B420" t="str" cm="1">
        <f t="array" ref="B420">INDEX(_xlfn.TEXTSPLIT(A420," - "),2)</f>
        <v>50 %]</v>
      </c>
      <c r="C420" t="s">
        <v>248</v>
      </c>
      <c r="D420" t="s">
        <v>17</v>
      </c>
      <c r="E420">
        <v>7752304</v>
      </c>
      <c r="F420" t="s">
        <v>249</v>
      </c>
      <c r="G420">
        <v>52911112</v>
      </c>
      <c r="H420">
        <v>117627</v>
      </c>
      <c r="I420">
        <v>0.12999999999999901</v>
      </c>
      <c r="J420">
        <v>6878.4445599999999</v>
      </c>
      <c r="K420">
        <v>0.22231058005358101</v>
      </c>
      <c r="L420">
        <v>5.8476749045712297E-2</v>
      </c>
      <c r="M420">
        <v>84</v>
      </c>
      <c r="N420">
        <v>81.886244761904706</v>
      </c>
      <c r="O420" t="s">
        <v>20</v>
      </c>
      <c r="P420">
        <v>102</v>
      </c>
    </row>
    <row r="421" spans="1:16" x14ac:dyDescent="0.2">
      <c r="A421" t="s">
        <v>241</v>
      </c>
      <c r="B421" t="str" cm="1">
        <f t="array" ref="B421">INDEX(_xlfn.TEXTSPLIT(A421," - "),2)</f>
        <v>Gay</v>
      </c>
      <c r="C421" t="s">
        <v>16</v>
      </c>
      <c r="D421" t="s">
        <v>24</v>
      </c>
      <c r="E421">
        <v>7757658</v>
      </c>
      <c r="F421" t="s">
        <v>18</v>
      </c>
      <c r="G421">
        <v>0</v>
      </c>
      <c r="H421">
        <v>142412</v>
      </c>
      <c r="I421">
        <v>0.50019790261848296</v>
      </c>
      <c r="J421">
        <v>8843.0612451300003</v>
      </c>
      <c r="K421">
        <v>0.805537604378044</v>
      </c>
      <c r="L421">
        <v>6.2094916475648097E-2</v>
      </c>
      <c r="M421">
        <v>105</v>
      </c>
      <c r="N421">
        <v>84.219630906000006</v>
      </c>
      <c r="O421" t="s">
        <v>20</v>
      </c>
      <c r="P421" t="s">
        <v>21</v>
      </c>
    </row>
    <row r="422" spans="1:16" x14ac:dyDescent="0.2">
      <c r="A422" t="s">
        <v>458</v>
      </c>
      <c r="B422" t="str" cm="1">
        <f t="array" ref="B422">INDEX(_xlfn.TEXTSPLIT(A422," - "),2)</f>
        <v>20 %]</v>
      </c>
      <c r="C422" t="s">
        <v>27</v>
      </c>
      <c r="D422" t="s">
        <v>17</v>
      </c>
      <c r="E422">
        <v>7627372</v>
      </c>
      <c r="F422" t="s">
        <v>18</v>
      </c>
      <c r="G422">
        <v>0</v>
      </c>
      <c r="H422">
        <v>34296</v>
      </c>
      <c r="I422">
        <v>1.8009999999999999</v>
      </c>
      <c r="J422">
        <v>13816.204007</v>
      </c>
      <c r="K422">
        <v>0.44706270961767502</v>
      </c>
      <c r="L422">
        <v>0.40285176134243</v>
      </c>
      <c r="M422">
        <v>133</v>
      </c>
      <c r="N422">
        <v>103.88123313533799</v>
      </c>
      <c r="O422" t="s">
        <v>20</v>
      </c>
      <c r="P422">
        <v>135</v>
      </c>
    </row>
    <row r="423" spans="1:16" x14ac:dyDescent="0.2">
      <c r="A423" t="s">
        <v>30</v>
      </c>
      <c r="B423" t="str" cm="1">
        <f t="array" ref="B423">INDEX(_xlfn.TEXTSPLIT(A423," - "),2)</f>
        <v>15 %]</v>
      </c>
      <c r="C423" t="s">
        <v>27</v>
      </c>
      <c r="D423" t="s">
        <v>17</v>
      </c>
      <c r="E423">
        <v>7796798</v>
      </c>
      <c r="F423" t="s">
        <v>18</v>
      </c>
      <c r="G423">
        <v>0</v>
      </c>
      <c r="H423">
        <v>50000</v>
      </c>
      <c r="I423">
        <v>1.7</v>
      </c>
      <c r="J423">
        <v>20497.8554</v>
      </c>
      <c r="K423">
        <v>0.41467752767930999</v>
      </c>
      <c r="L423">
        <v>0.40995710800000001</v>
      </c>
      <c r="M423">
        <v>156</v>
      </c>
      <c r="N423">
        <v>131.396508974358</v>
      </c>
      <c r="O423" t="s">
        <v>20</v>
      </c>
      <c r="P423">
        <v>336</v>
      </c>
    </row>
    <row r="424" spans="1:16" x14ac:dyDescent="0.2">
      <c r="A424" t="s">
        <v>462</v>
      </c>
      <c r="B424" t="str" cm="1">
        <f t="array" ref="B424">INDEX(_xlfn.TEXTSPLIT(A424," - "),2)</f>
        <v>25 %]</v>
      </c>
      <c r="C424" t="s">
        <v>27</v>
      </c>
      <c r="D424" t="s">
        <v>17</v>
      </c>
      <c r="E424">
        <v>7627362</v>
      </c>
      <c r="F424" t="s">
        <v>18</v>
      </c>
      <c r="G424">
        <v>0</v>
      </c>
      <c r="H424">
        <v>42485</v>
      </c>
      <c r="I424">
        <v>1.8009999999999999</v>
      </c>
      <c r="J424">
        <v>15581.592833999999</v>
      </c>
      <c r="K424">
        <v>0.49106330665398001</v>
      </c>
      <c r="L424">
        <v>0.36675515673767201</v>
      </c>
      <c r="M424">
        <v>175</v>
      </c>
      <c r="N424">
        <v>89.037673337142806</v>
      </c>
      <c r="O424" t="s">
        <v>20</v>
      </c>
      <c r="P424">
        <v>155</v>
      </c>
    </row>
    <row r="425" spans="1:16" x14ac:dyDescent="0.2">
      <c r="A425" t="s">
        <v>28</v>
      </c>
      <c r="B425" t="str" cm="1">
        <f t="array" ref="B425">INDEX(_xlfn.TEXTSPLIT(A425," - "),2)</f>
        <v>40 %]</v>
      </c>
      <c r="C425" t="s">
        <v>27</v>
      </c>
      <c r="D425" t="s">
        <v>17</v>
      </c>
      <c r="E425">
        <v>7796804</v>
      </c>
      <c r="F425" t="s">
        <v>18</v>
      </c>
      <c r="G425">
        <v>0</v>
      </c>
      <c r="H425">
        <v>50900</v>
      </c>
      <c r="I425">
        <v>1.7</v>
      </c>
      <c r="J425">
        <v>21135.418300000001</v>
      </c>
      <c r="K425">
        <v>0.40940755830699499</v>
      </c>
      <c r="L425">
        <v>0.41523415127701302</v>
      </c>
      <c r="M425">
        <v>210</v>
      </c>
      <c r="N425">
        <v>100.644849047619</v>
      </c>
      <c r="O425" t="s">
        <v>20</v>
      </c>
      <c r="P425">
        <v>368</v>
      </c>
    </row>
    <row r="426" spans="1:16" x14ac:dyDescent="0.2">
      <c r="A426" t="s">
        <v>461</v>
      </c>
      <c r="B426" t="str" cm="1">
        <f t="array" ref="B426">INDEX(_xlfn.TEXTSPLIT(A426," - "),2)</f>
        <v>25 %]</v>
      </c>
      <c r="C426" t="s">
        <v>23</v>
      </c>
      <c r="D426" t="s">
        <v>24</v>
      </c>
      <c r="E426">
        <v>7627364</v>
      </c>
      <c r="F426" t="s">
        <v>18</v>
      </c>
      <c r="G426">
        <v>0</v>
      </c>
      <c r="H426">
        <v>56067</v>
      </c>
      <c r="I426">
        <v>1.9770000000000101</v>
      </c>
      <c r="J426">
        <v>21167.3515080002</v>
      </c>
      <c r="K426">
        <v>0.52365766665757496</v>
      </c>
      <c r="L426">
        <v>0.377536724062286</v>
      </c>
      <c r="M426">
        <v>215</v>
      </c>
      <c r="N426">
        <v>98.452797711628804</v>
      </c>
      <c r="O426" t="s">
        <v>20</v>
      </c>
      <c r="P426">
        <v>378</v>
      </c>
    </row>
    <row r="427" spans="1:16" x14ac:dyDescent="0.2">
      <c r="A427" t="s">
        <v>26</v>
      </c>
      <c r="B427" t="str" cm="1">
        <f t="array" ref="B427">INDEX(_xlfn.TEXTSPLIT(A427," - "),2)</f>
        <v>15 %]</v>
      </c>
      <c r="C427" t="s">
        <v>27</v>
      </c>
      <c r="D427" t="s">
        <v>17</v>
      </c>
      <c r="E427">
        <v>7796810</v>
      </c>
      <c r="F427" t="s">
        <v>18</v>
      </c>
      <c r="G427">
        <v>0</v>
      </c>
      <c r="H427">
        <v>80450</v>
      </c>
      <c r="I427">
        <v>1.7909999999999799</v>
      </c>
      <c r="J427">
        <v>22436.079083999801</v>
      </c>
      <c r="K427">
        <v>0.64220646335104503</v>
      </c>
      <c r="L427">
        <v>0.278882275748909</v>
      </c>
      <c r="M427">
        <v>311</v>
      </c>
      <c r="N427">
        <v>72.1417333890668</v>
      </c>
      <c r="O427" t="s">
        <v>20</v>
      </c>
      <c r="P427">
        <v>429</v>
      </c>
    </row>
    <row r="428" spans="1:16" x14ac:dyDescent="0.2">
      <c r="A428" t="s">
        <v>457</v>
      </c>
      <c r="B428" t="str" cm="1">
        <f t="array" ref="B428">INDEX(_xlfn.TEXTSPLIT(A428," - "),2)</f>
        <v>12 %]</v>
      </c>
      <c r="C428" t="s">
        <v>455</v>
      </c>
      <c r="D428" t="s">
        <v>17</v>
      </c>
      <c r="E428">
        <v>7664860</v>
      </c>
      <c r="F428" t="s">
        <v>18</v>
      </c>
      <c r="G428">
        <v>0</v>
      </c>
      <c r="H428">
        <v>86326</v>
      </c>
      <c r="I428">
        <v>2.3810000000000202</v>
      </c>
      <c r="J428">
        <v>31850.282231000299</v>
      </c>
      <c r="K428">
        <v>0.64533872732827702</v>
      </c>
      <c r="L428">
        <v>0.36895352768575201</v>
      </c>
      <c r="M428">
        <v>359</v>
      </c>
      <c r="N428">
        <v>88.719449111421397</v>
      </c>
      <c r="O428" t="s">
        <v>20</v>
      </c>
      <c r="P428">
        <v>282</v>
      </c>
    </row>
    <row r="429" spans="1:16" x14ac:dyDescent="0.2">
      <c r="A429" t="s">
        <v>246</v>
      </c>
      <c r="B429" t="str" cm="1">
        <f t="array" ref="B429">INDEX(_xlfn.TEXTSPLIT(A429," - "),2)</f>
        <v>Gay</v>
      </c>
      <c r="C429" t="s">
        <v>16</v>
      </c>
      <c r="D429" t="s">
        <v>17</v>
      </c>
      <c r="E429">
        <v>7753722</v>
      </c>
      <c r="F429" t="s">
        <v>18</v>
      </c>
      <c r="G429">
        <v>0</v>
      </c>
      <c r="H429">
        <v>483897</v>
      </c>
      <c r="I429">
        <v>0.69326941298560496</v>
      </c>
      <c r="J429">
        <v>27718.026601649999</v>
      </c>
      <c r="K429">
        <v>1.21029896520672</v>
      </c>
      <c r="L429">
        <v>5.7280839934221499E-2</v>
      </c>
      <c r="M429">
        <v>483</v>
      </c>
      <c r="N429">
        <v>57.387218636956497</v>
      </c>
      <c r="O429" t="s">
        <v>20</v>
      </c>
      <c r="P429" t="s">
        <v>21</v>
      </c>
    </row>
    <row r="430" spans="1:16" x14ac:dyDescent="0.2">
      <c r="A430" t="s">
        <v>459</v>
      </c>
      <c r="B430" t="str" cm="1">
        <f t="array" ref="B430">INDEX(_xlfn.TEXTSPLIT(A430," - "),2)</f>
        <v>25 %]</v>
      </c>
      <c r="C430" t="s">
        <v>23</v>
      </c>
      <c r="D430" t="s">
        <v>24</v>
      </c>
      <c r="E430">
        <v>7627370</v>
      </c>
      <c r="F430" t="s">
        <v>18</v>
      </c>
      <c r="G430">
        <v>0</v>
      </c>
      <c r="H430">
        <v>185570</v>
      </c>
      <c r="I430">
        <v>1.9770000000000201</v>
      </c>
      <c r="J430">
        <v>65986.963617000903</v>
      </c>
      <c r="K430">
        <v>0.55597631697283301</v>
      </c>
      <c r="L430">
        <v>0.35559068608611699</v>
      </c>
      <c r="M430">
        <v>758</v>
      </c>
      <c r="N430">
        <v>87.054041711082903</v>
      </c>
      <c r="O430" t="s">
        <v>20</v>
      </c>
      <c r="P430">
        <v>1114</v>
      </c>
    </row>
    <row r="431" spans="1:16" x14ac:dyDescent="0.2">
      <c r="A431" t="s">
        <v>463</v>
      </c>
      <c r="B431" t="str" cm="1">
        <f t="array" ref="B431">INDEX(_xlfn.TEXTSPLIT(A431," - "),2)</f>
        <v>30 %]</v>
      </c>
      <c r="C431" t="s">
        <v>27</v>
      </c>
      <c r="D431" t="s">
        <v>24</v>
      </c>
      <c r="E431">
        <v>7627360</v>
      </c>
      <c r="F431" t="s">
        <v>18</v>
      </c>
      <c r="G431">
        <v>0</v>
      </c>
      <c r="H431">
        <v>286050</v>
      </c>
      <c r="I431">
        <v>1.9770000000000201</v>
      </c>
      <c r="J431">
        <v>101787.972252001</v>
      </c>
      <c r="K431">
        <v>0.55558710669657496</v>
      </c>
      <c r="L431">
        <v>0.35583979112743003</v>
      </c>
      <c r="M431">
        <v>1190</v>
      </c>
      <c r="N431">
        <v>85.536111136135602</v>
      </c>
      <c r="O431" t="s">
        <v>20</v>
      </c>
      <c r="P431">
        <v>1094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25FC-06C1-6F4E-8100-727ACE00F238}">
  <dimension ref="A3:D164"/>
  <sheetViews>
    <sheetView workbookViewId="0">
      <selection activeCell="F84" sqref="F84"/>
    </sheetView>
  </sheetViews>
  <sheetFormatPr baseColWidth="10" defaultRowHeight="16" x14ac:dyDescent="0.2"/>
  <cols>
    <col min="1" max="1" width="26" bestFit="1" customWidth="1"/>
    <col min="2" max="2" width="12.5" style="3" bestFit="1" customWidth="1"/>
    <col min="3" max="3" width="7" style="3" bestFit="1" customWidth="1"/>
  </cols>
  <sheetData>
    <row r="3" spans="1:4" x14ac:dyDescent="0.2">
      <c r="A3" s="1" t="s">
        <v>467</v>
      </c>
      <c r="B3" s="4" t="s">
        <v>629</v>
      </c>
      <c r="C3" t="s">
        <v>630</v>
      </c>
    </row>
    <row r="4" spans="1:4" x14ac:dyDescent="0.2">
      <c r="A4" s="2" t="s">
        <v>525</v>
      </c>
      <c r="B4" s="4">
        <v>44444.778457880006</v>
      </c>
      <c r="C4" s="4">
        <v>702</v>
      </c>
      <c r="D4" s="3">
        <f>B4/C4</f>
        <v>63.311650224900291</v>
      </c>
    </row>
    <row r="5" spans="1:4" x14ac:dyDescent="0.2">
      <c r="A5" s="2" t="s">
        <v>486</v>
      </c>
      <c r="B5" s="4">
        <v>5015.7956724199985</v>
      </c>
      <c r="C5" s="4">
        <v>86</v>
      </c>
      <c r="D5" s="3">
        <f t="shared" ref="D5:D68" si="0">B5/C5</f>
        <v>58.323205493255799</v>
      </c>
    </row>
    <row r="6" spans="1:4" x14ac:dyDescent="0.2">
      <c r="A6" s="2" t="s">
        <v>621</v>
      </c>
      <c r="B6" s="4">
        <v>4936.3375999999998</v>
      </c>
      <c r="C6" s="4">
        <v>33</v>
      </c>
      <c r="D6" s="3">
        <f t="shared" si="0"/>
        <v>149.58598787878788</v>
      </c>
    </row>
    <row r="7" spans="1:4" x14ac:dyDescent="0.2">
      <c r="A7" s="2" t="s">
        <v>597</v>
      </c>
      <c r="B7" s="4">
        <v>4211.8958922899992</v>
      </c>
      <c r="C7" s="4">
        <v>44</v>
      </c>
      <c r="D7" s="3">
        <f t="shared" si="0"/>
        <v>95.724906642954522</v>
      </c>
    </row>
    <row r="8" spans="1:4" x14ac:dyDescent="0.2">
      <c r="A8" s="2" t="s">
        <v>470</v>
      </c>
      <c r="B8" s="4">
        <v>3851.1228477199902</v>
      </c>
      <c r="C8" s="4">
        <v>42</v>
      </c>
      <c r="D8" s="3">
        <f t="shared" si="0"/>
        <v>91.693401136190246</v>
      </c>
    </row>
    <row r="9" spans="1:4" x14ac:dyDescent="0.2">
      <c r="A9" s="2" t="s">
        <v>624</v>
      </c>
      <c r="B9" s="4">
        <v>3839.926508</v>
      </c>
      <c r="C9" s="4">
        <v>47</v>
      </c>
      <c r="D9" s="3">
        <f t="shared" si="0"/>
        <v>81.700564</v>
      </c>
    </row>
    <row r="10" spans="1:4" x14ac:dyDescent="0.2">
      <c r="A10" s="2" t="s">
        <v>558</v>
      </c>
      <c r="B10" s="4">
        <v>3594.0263713399981</v>
      </c>
      <c r="C10" s="4">
        <v>26</v>
      </c>
      <c r="D10" s="3">
        <f t="shared" si="0"/>
        <v>138.23178351307686</v>
      </c>
    </row>
    <row r="11" spans="1:4" x14ac:dyDescent="0.2">
      <c r="A11" s="2" t="s">
        <v>608</v>
      </c>
      <c r="B11" s="4">
        <v>3206.3923536099987</v>
      </c>
      <c r="C11" s="4">
        <v>39</v>
      </c>
      <c r="D11" s="3">
        <f t="shared" si="0"/>
        <v>82.215188554102525</v>
      </c>
    </row>
    <row r="12" spans="1:4" x14ac:dyDescent="0.2">
      <c r="A12" s="2" t="s">
        <v>500</v>
      </c>
      <c r="B12" s="4">
        <v>3110.9768098099976</v>
      </c>
      <c r="C12" s="4">
        <v>21</v>
      </c>
      <c r="D12" s="3">
        <f t="shared" si="0"/>
        <v>148.14175284809511</v>
      </c>
    </row>
    <row r="13" spans="1:4" x14ac:dyDescent="0.2">
      <c r="A13" s="2" t="s">
        <v>576</v>
      </c>
      <c r="B13" s="4">
        <v>2919.3637093099987</v>
      </c>
      <c r="C13" s="4">
        <v>35</v>
      </c>
      <c r="D13" s="3">
        <f t="shared" si="0"/>
        <v>83.410391694571388</v>
      </c>
    </row>
    <row r="14" spans="1:4" x14ac:dyDescent="0.2">
      <c r="A14" s="2" t="s">
        <v>622</v>
      </c>
      <c r="B14" s="4">
        <v>2631.2782029998998</v>
      </c>
      <c r="C14" s="4">
        <v>17</v>
      </c>
      <c r="D14" s="3">
        <f t="shared" si="0"/>
        <v>154.78107076469999</v>
      </c>
    </row>
    <row r="15" spans="1:4" x14ac:dyDescent="0.2">
      <c r="A15" s="2" t="s">
        <v>489</v>
      </c>
      <c r="B15" s="4">
        <v>2451.45278581</v>
      </c>
      <c r="C15" s="4">
        <v>18</v>
      </c>
      <c r="D15" s="3">
        <f t="shared" si="0"/>
        <v>136.19182143388889</v>
      </c>
    </row>
    <row r="16" spans="1:4" x14ac:dyDescent="0.2">
      <c r="A16" s="2" t="s">
        <v>623</v>
      </c>
      <c r="B16" s="4">
        <v>2389.2161499999902</v>
      </c>
      <c r="C16" s="4">
        <v>31</v>
      </c>
      <c r="D16" s="3">
        <f t="shared" si="0"/>
        <v>77.071488709677098</v>
      </c>
    </row>
    <row r="17" spans="1:4" x14ac:dyDescent="0.2">
      <c r="A17" s="2" t="s">
        <v>491</v>
      </c>
      <c r="B17" s="4">
        <v>2326.7228760799999</v>
      </c>
      <c r="C17" s="4">
        <v>24</v>
      </c>
      <c r="D17" s="3">
        <f t="shared" si="0"/>
        <v>96.946786503333328</v>
      </c>
    </row>
    <row r="18" spans="1:4" x14ac:dyDescent="0.2">
      <c r="A18" s="2" t="s">
        <v>507</v>
      </c>
      <c r="B18" s="4">
        <v>2116.5417058899902</v>
      </c>
      <c r="C18" s="4">
        <v>29</v>
      </c>
      <c r="D18" s="3">
        <f t="shared" si="0"/>
        <v>72.984196754827252</v>
      </c>
    </row>
    <row r="19" spans="1:4" x14ac:dyDescent="0.2">
      <c r="A19" s="2" t="s">
        <v>533</v>
      </c>
      <c r="B19" s="4">
        <v>2073.4560140999993</v>
      </c>
      <c r="C19" s="4">
        <v>24</v>
      </c>
      <c r="D19" s="3">
        <f t="shared" si="0"/>
        <v>86.394000587499974</v>
      </c>
    </row>
    <row r="20" spans="1:4" x14ac:dyDescent="0.2">
      <c r="A20" s="2" t="s">
        <v>532</v>
      </c>
      <c r="B20" s="4">
        <v>1991.89664604</v>
      </c>
      <c r="C20" s="4">
        <v>11</v>
      </c>
      <c r="D20" s="3">
        <f t="shared" si="0"/>
        <v>181.08151327636364</v>
      </c>
    </row>
    <row r="21" spans="1:4" x14ac:dyDescent="0.2">
      <c r="A21" s="2" t="s">
        <v>484</v>
      </c>
      <c r="B21" s="4">
        <v>1929.6143900900001</v>
      </c>
      <c r="C21" s="4">
        <v>12</v>
      </c>
      <c r="D21" s="3">
        <f t="shared" si="0"/>
        <v>160.80119917416667</v>
      </c>
    </row>
    <row r="22" spans="1:4" x14ac:dyDescent="0.2">
      <c r="A22" s="2" t="s">
        <v>599</v>
      </c>
      <c r="B22" s="4">
        <v>1892.5779589999997</v>
      </c>
      <c r="C22" s="4">
        <v>17</v>
      </c>
      <c r="D22" s="3">
        <f t="shared" si="0"/>
        <v>111.32811523529411</v>
      </c>
    </row>
    <row r="23" spans="1:4" x14ac:dyDescent="0.2">
      <c r="A23" s="2" t="s">
        <v>546</v>
      </c>
      <c r="B23" s="4">
        <v>1843.8081321099999</v>
      </c>
      <c r="C23" s="4">
        <v>16</v>
      </c>
      <c r="D23" s="3">
        <f t="shared" si="0"/>
        <v>115.23800825687499</v>
      </c>
    </row>
    <row r="24" spans="1:4" x14ac:dyDescent="0.2">
      <c r="A24" s="2" t="s">
        <v>475</v>
      </c>
      <c r="B24" s="4">
        <v>1654.45584409</v>
      </c>
      <c r="C24" s="4">
        <v>14</v>
      </c>
      <c r="D24" s="3">
        <f t="shared" si="0"/>
        <v>118.175417435</v>
      </c>
    </row>
    <row r="25" spans="1:4" x14ac:dyDescent="0.2">
      <c r="A25" s="2" t="s">
        <v>488</v>
      </c>
      <c r="B25" s="4">
        <v>1542.2469736299979</v>
      </c>
      <c r="C25" s="4">
        <v>5</v>
      </c>
      <c r="D25" s="3">
        <f t="shared" si="0"/>
        <v>308.44939472599958</v>
      </c>
    </row>
    <row r="26" spans="1:4" x14ac:dyDescent="0.2">
      <c r="A26" s="2" t="s">
        <v>584</v>
      </c>
      <c r="B26" s="4">
        <v>1452.93236058</v>
      </c>
      <c r="C26" s="4">
        <v>13</v>
      </c>
      <c r="D26" s="3">
        <f t="shared" si="0"/>
        <v>111.76402773692308</v>
      </c>
    </row>
    <row r="27" spans="1:4" x14ac:dyDescent="0.2">
      <c r="A27" s="2" t="s">
        <v>501</v>
      </c>
      <c r="B27" s="4">
        <v>1432.7577618299979</v>
      </c>
      <c r="C27" s="4">
        <v>11</v>
      </c>
      <c r="D27" s="3">
        <f t="shared" si="0"/>
        <v>130.25070562090889</v>
      </c>
    </row>
    <row r="28" spans="1:4" x14ac:dyDescent="0.2">
      <c r="A28" s="2" t="s">
        <v>505</v>
      </c>
      <c r="B28" s="4">
        <v>1078.41528619</v>
      </c>
      <c r="C28" s="4">
        <v>10</v>
      </c>
      <c r="D28" s="3">
        <f t="shared" si="0"/>
        <v>107.841528619</v>
      </c>
    </row>
    <row r="29" spans="1:4" x14ac:dyDescent="0.2">
      <c r="A29" s="2" t="s">
        <v>477</v>
      </c>
      <c r="B29" s="4">
        <v>1065.3882235499989</v>
      </c>
      <c r="C29" s="4">
        <v>11</v>
      </c>
      <c r="D29" s="3">
        <f t="shared" si="0"/>
        <v>96.853474868181721</v>
      </c>
    </row>
    <row r="30" spans="1:4" x14ac:dyDescent="0.2">
      <c r="A30" s="2" t="s">
        <v>577</v>
      </c>
      <c r="B30" s="4">
        <v>862.38698160999991</v>
      </c>
      <c r="C30" s="4">
        <v>5</v>
      </c>
      <c r="D30" s="3">
        <f t="shared" si="0"/>
        <v>172.47739632199998</v>
      </c>
    </row>
    <row r="31" spans="1:4" x14ac:dyDescent="0.2">
      <c r="A31" s="2" t="s">
        <v>560</v>
      </c>
      <c r="B31" s="4">
        <v>800.61478679000004</v>
      </c>
      <c r="C31" s="4">
        <v>10</v>
      </c>
      <c r="D31" s="3">
        <f t="shared" si="0"/>
        <v>80.061478679000004</v>
      </c>
    </row>
    <row r="32" spans="1:4" x14ac:dyDescent="0.2">
      <c r="A32" s="2" t="s">
        <v>511</v>
      </c>
      <c r="B32" s="4">
        <v>685.67284175999987</v>
      </c>
      <c r="C32" s="4">
        <v>6</v>
      </c>
      <c r="D32" s="3">
        <f t="shared" si="0"/>
        <v>114.27880695999998</v>
      </c>
    </row>
    <row r="33" spans="1:4" x14ac:dyDescent="0.2">
      <c r="A33" s="2" t="s">
        <v>503</v>
      </c>
      <c r="B33" s="4">
        <v>502.87299301000002</v>
      </c>
      <c r="C33" s="4">
        <v>9</v>
      </c>
      <c r="D33" s="3">
        <f t="shared" si="0"/>
        <v>55.874777001111113</v>
      </c>
    </row>
    <row r="34" spans="1:4" x14ac:dyDescent="0.2">
      <c r="A34" s="2" t="s">
        <v>545</v>
      </c>
      <c r="B34" s="4">
        <v>481.93861697</v>
      </c>
      <c r="C34" s="4">
        <v>7</v>
      </c>
      <c r="D34" s="3">
        <f t="shared" si="0"/>
        <v>68.848373852857137</v>
      </c>
    </row>
    <row r="35" spans="1:4" x14ac:dyDescent="0.2">
      <c r="A35" s="2" t="s">
        <v>536</v>
      </c>
      <c r="B35" s="4">
        <v>407.82400000000001</v>
      </c>
      <c r="C35" s="4">
        <v>3</v>
      </c>
      <c r="D35" s="3">
        <f t="shared" si="0"/>
        <v>135.94133333333335</v>
      </c>
    </row>
    <row r="36" spans="1:4" x14ac:dyDescent="0.2">
      <c r="A36" s="2" t="s">
        <v>569</v>
      </c>
      <c r="B36" s="4">
        <v>359.60758243999999</v>
      </c>
      <c r="C36" s="4">
        <v>7</v>
      </c>
      <c r="D36" s="3">
        <f t="shared" si="0"/>
        <v>51.372511777142854</v>
      </c>
    </row>
    <row r="37" spans="1:4" x14ac:dyDescent="0.2">
      <c r="A37" s="2" t="s">
        <v>483</v>
      </c>
      <c r="B37" s="4">
        <v>316.82400000000001</v>
      </c>
      <c r="C37" s="4">
        <v>3</v>
      </c>
      <c r="D37" s="3">
        <f t="shared" si="0"/>
        <v>105.608</v>
      </c>
    </row>
    <row r="38" spans="1:4" x14ac:dyDescent="0.2">
      <c r="A38" s="2" t="s">
        <v>580</v>
      </c>
      <c r="B38" s="4">
        <v>306.16199999999998</v>
      </c>
      <c r="C38" s="4">
        <v>6</v>
      </c>
      <c r="D38" s="3">
        <f t="shared" si="0"/>
        <v>51.026999999999994</v>
      </c>
    </row>
    <row r="39" spans="1:4" x14ac:dyDescent="0.2">
      <c r="A39" s="2" t="s">
        <v>492</v>
      </c>
      <c r="B39" s="4">
        <v>294.029</v>
      </c>
      <c r="C39" s="4">
        <v>1</v>
      </c>
      <c r="D39" s="3">
        <f t="shared" si="0"/>
        <v>294.029</v>
      </c>
    </row>
    <row r="40" spans="1:4" x14ac:dyDescent="0.2">
      <c r="A40" s="2" t="s">
        <v>482</v>
      </c>
      <c r="B40" s="4">
        <v>282.47699999999998</v>
      </c>
      <c r="C40" s="4">
        <v>3</v>
      </c>
      <c r="D40" s="3">
        <f t="shared" si="0"/>
        <v>94.158999999999992</v>
      </c>
    </row>
    <row r="41" spans="1:4" x14ac:dyDescent="0.2">
      <c r="A41" s="2" t="s">
        <v>516</v>
      </c>
      <c r="B41" s="4">
        <v>266.022999999999</v>
      </c>
      <c r="C41" s="4">
        <v>3</v>
      </c>
      <c r="D41" s="3">
        <f t="shared" si="0"/>
        <v>88.674333333332996</v>
      </c>
    </row>
    <row r="42" spans="1:4" x14ac:dyDescent="0.2">
      <c r="A42" s="2" t="s">
        <v>538</v>
      </c>
      <c r="B42" s="4">
        <v>263.94799999999998</v>
      </c>
      <c r="C42" s="4">
        <v>4</v>
      </c>
      <c r="D42" s="3">
        <f t="shared" si="0"/>
        <v>65.986999999999995</v>
      </c>
    </row>
    <row r="43" spans="1:4" x14ac:dyDescent="0.2">
      <c r="A43" s="2" t="s">
        <v>510</v>
      </c>
      <c r="B43" s="4">
        <v>226.51599999999999</v>
      </c>
      <c r="C43" s="4">
        <v>1</v>
      </c>
      <c r="D43" s="3">
        <f t="shared" si="0"/>
        <v>226.51599999999999</v>
      </c>
    </row>
    <row r="44" spans="1:4" x14ac:dyDescent="0.2">
      <c r="A44" s="2" t="s">
        <v>517</v>
      </c>
      <c r="B44" s="4">
        <v>226.33699999999999</v>
      </c>
      <c r="C44" s="4">
        <v>6</v>
      </c>
      <c r="D44" s="3">
        <f t="shared" si="0"/>
        <v>37.722833333333334</v>
      </c>
    </row>
    <row r="45" spans="1:4" x14ac:dyDescent="0.2">
      <c r="A45" s="2" t="s">
        <v>573</v>
      </c>
      <c r="B45" s="4">
        <v>214.298</v>
      </c>
      <c r="C45" s="4">
        <v>3</v>
      </c>
      <c r="D45" s="3">
        <f t="shared" si="0"/>
        <v>71.432666666666663</v>
      </c>
    </row>
    <row r="46" spans="1:4" x14ac:dyDescent="0.2">
      <c r="A46" s="2" t="s">
        <v>499</v>
      </c>
      <c r="B46" s="4">
        <v>200.798</v>
      </c>
      <c r="C46" s="4">
        <v>1</v>
      </c>
      <c r="D46" s="3">
        <f t="shared" si="0"/>
        <v>200.798</v>
      </c>
    </row>
    <row r="47" spans="1:4" x14ac:dyDescent="0.2">
      <c r="A47" s="2" t="s">
        <v>474</v>
      </c>
      <c r="B47" s="4">
        <v>190.79900000000001</v>
      </c>
      <c r="C47" s="4">
        <v>2</v>
      </c>
      <c r="D47" s="3">
        <f t="shared" si="0"/>
        <v>95.399500000000003</v>
      </c>
    </row>
    <row r="48" spans="1:4" x14ac:dyDescent="0.2">
      <c r="A48" s="2" t="s">
        <v>515</v>
      </c>
      <c r="B48" s="4">
        <v>188.35599999999999</v>
      </c>
      <c r="C48" s="4">
        <v>3</v>
      </c>
      <c r="D48" s="3">
        <f t="shared" si="0"/>
        <v>62.785333333333334</v>
      </c>
    </row>
    <row r="49" spans="1:4" x14ac:dyDescent="0.2">
      <c r="A49" s="2" t="s">
        <v>619</v>
      </c>
      <c r="B49" s="4">
        <v>179.554</v>
      </c>
      <c r="C49" s="4">
        <v>1</v>
      </c>
      <c r="D49" s="3">
        <f t="shared" si="0"/>
        <v>179.554</v>
      </c>
    </row>
    <row r="50" spans="1:4" x14ac:dyDescent="0.2">
      <c r="A50" s="2" t="s">
        <v>535</v>
      </c>
      <c r="B50" s="4">
        <v>179.02599999999899</v>
      </c>
      <c r="C50" s="4">
        <v>3</v>
      </c>
      <c r="D50" s="3">
        <f t="shared" si="0"/>
        <v>59.675333333332993</v>
      </c>
    </row>
    <row r="51" spans="1:4" x14ac:dyDescent="0.2">
      <c r="A51" s="2" t="s">
        <v>487</v>
      </c>
      <c r="B51" s="4">
        <v>171.482</v>
      </c>
      <c r="C51" s="4">
        <v>2</v>
      </c>
      <c r="D51" s="3">
        <f t="shared" si="0"/>
        <v>85.741</v>
      </c>
    </row>
    <row r="52" spans="1:4" x14ac:dyDescent="0.2">
      <c r="A52" s="2" t="s">
        <v>485</v>
      </c>
      <c r="B52" s="4">
        <v>163.41200000000001</v>
      </c>
      <c r="C52" s="4">
        <v>2</v>
      </c>
      <c r="D52" s="3">
        <f t="shared" si="0"/>
        <v>81.706000000000003</v>
      </c>
    </row>
    <row r="53" spans="1:4" x14ac:dyDescent="0.2">
      <c r="A53" s="2" t="s">
        <v>601</v>
      </c>
      <c r="B53" s="4">
        <v>159.94499999999999</v>
      </c>
      <c r="C53" s="4">
        <v>3</v>
      </c>
      <c r="D53" s="3">
        <f t="shared" si="0"/>
        <v>53.314999999999998</v>
      </c>
    </row>
    <row r="54" spans="1:4" x14ac:dyDescent="0.2">
      <c r="A54" s="2" t="s">
        <v>540</v>
      </c>
      <c r="B54" s="4">
        <v>145.34100000000001</v>
      </c>
      <c r="C54" s="4">
        <v>1</v>
      </c>
      <c r="D54" s="3">
        <f t="shared" si="0"/>
        <v>145.34100000000001</v>
      </c>
    </row>
    <row r="55" spans="1:4" x14ac:dyDescent="0.2">
      <c r="A55" s="2" t="s">
        <v>478</v>
      </c>
      <c r="B55" s="4">
        <v>144.10299999999901</v>
      </c>
      <c r="C55" s="4">
        <v>1</v>
      </c>
      <c r="D55" s="3">
        <f t="shared" si="0"/>
        <v>144.10299999999901</v>
      </c>
    </row>
    <row r="56" spans="1:4" x14ac:dyDescent="0.2">
      <c r="A56" s="2" t="s">
        <v>531</v>
      </c>
      <c r="B56" s="4">
        <v>142.21100000000001</v>
      </c>
      <c r="C56" s="4">
        <v>4</v>
      </c>
      <c r="D56" s="3">
        <f t="shared" si="0"/>
        <v>35.552750000000003</v>
      </c>
    </row>
    <row r="57" spans="1:4" x14ac:dyDescent="0.2">
      <c r="A57" s="2" t="s">
        <v>494</v>
      </c>
      <c r="B57" s="4">
        <v>132.095</v>
      </c>
      <c r="C57" s="4">
        <v>2</v>
      </c>
      <c r="D57" s="3">
        <f t="shared" si="0"/>
        <v>66.047499999999999</v>
      </c>
    </row>
    <row r="58" spans="1:4" x14ac:dyDescent="0.2">
      <c r="A58" s="2" t="s">
        <v>490</v>
      </c>
      <c r="B58" s="4">
        <v>130.685</v>
      </c>
      <c r="C58" s="4">
        <v>0</v>
      </c>
      <c r="D58" s="3" t="e">
        <f t="shared" si="0"/>
        <v>#DIV/0!</v>
      </c>
    </row>
    <row r="59" spans="1:4" x14ac:dyDescent="0.2">
      <c r="A59" s="2" t="s">
        <v>562</v>
      </c>
      <c r="B59" s="4">
        <v>123.149</v>
      </c>
      <c r="C59" s="4">
        <v>2</v>
      </c>
      <c r="D59" s="3">
        <f t="shared" si="0"/>
        <v>61.5745</v>
      </c>
    </row>
    <row r="60" spans="1:4" x14ac:dyDescent="0.2">
      <c r="A60" s="2" t="s">
        <v>521</v>
      </c>
      <c r="B60" s="4">
        <v>109.378999999999</v>
      </c>
      <c r="C60" s="4">
        <v>2</v>
      </c>
      <c r="D60" s="3">
        <f t="shared" si="0"/>
        <v>54.689499999999498</v>
      </c>
    </row>
    <row r="61" spans="1:4" x14ac:dyDescent="0.2">
      <c r="A61" s="2" t="s">
        <v>585</v>
      </c>
      <c r="B61" s="4">
        <v>100.504260969999</v>
      </c>
      <c r="C61" s="4">
        <v>1</v>
      </c>
      <c r="D61" s="3">
        <f t="shared" si="0"/>
        <v>100.504260969999</v>
      </c>
    </row>
    <row r="62" spans="1:4" x14ac:dyDescent="0.2">
      <c r="A62" s="2" t="s">
        <v>513</v>
      </c>
      <c r="B62" s="4">
        <v>100.264596349999</v>
      </c>
      <c r="C62" s="4">
        <v>0</v>
      </c>
      <c r="D62" s="3" t="e">
        <f t="shared" si="0"/>
        <v>#DIV/0!</v>
      </c>
    </row>
    <row r="63" spans="1:4" x14ac:dyDescent="0.2">
      <c r="A63" s="2" t="s">
        <v>471</v>
      </c>
      <c r="B63" s="4">
        <v>100.11518101</v>
      </c>
      <c r="C63" s="4">
        <v>0</v>
      </c>
      <c r="D63" s="3" t="e">
        <f t="shared" si="0"/>
        <v>#DIV/0!</v>
      </c>
    </row>
    <row r="64" spans="1:4" x14ac:dyDescent="0.2">
      <c r="A64" s="2" t="s">
        <v>612</v>
      </c>
      <c r="B64" s="4">
        <v>100.10299999999999</v>
      </c>
      <c r="C64" s="4">
        <v>1</v>
      </c>
      <c r="D64" s="3">
        <f t="shared" si="0"/>
        <v>100.10299999999999</v>
      </c>
    </row>
    <row r="65" spans="1:4" x14ac:dyDescent="0.2">
      <c r="A65" s="2" t="s">
        <v>508</v>
      </c>
      <c r="B65" s="4">
        <v>100.10045445999999</v>
      </c>
      <c r="C65" s="4">
        <v>0</v>
      </c>
      <c r="D65" s="3" t="e">
        <f t="shared" si="0"/>
        <v>#DIV/0!</v>
      </c>
    </row>
    <row r="66" spans="1:4" x14ac:dyDescent="0.2">
      <c r="A66" s="2" t="s">
        <v>610</v>
      </c>
      <c r="B66" s="4">
        <v>100.09982929</v>
      </c>
      <c r="C66" s="4">
        <v>1</v>
      </c>
      <c r="D66" s="3">
        <f t="shared" si="0"/>
        <v>100.09982929</v>
      </c>
    </row>
    <row r="67" spans="1:4" x14ac:dyDescent="0.2">
      <c r="A67" s="2" t="s">
        <v>555</v>
      </c>
      <c r="B67" s="4">
        <v>100.08792364999999</v>
      </c>
      <c r="C67" s="4">
        <v>1</v>
      </c>
      <c r="D67" s="3">
        <f t="shared" si="0"/>
        <v>100.08792364999999</v>
      </c>
    </row>
    <row r="68" spans="1:4" x14ac:dyDescent="0.2">
      <c r="A68" s="2" t="s">
        <v>548</v>
      </c>
      <c r="B68" s="4">
        <v>100.07602955999999</v>
      </c>
      <c r="C68" s="4">
        <v>1</v>
      </c>
      <c r="D68" s="3">
        <f t="shared" si="0"/>
        <v>100.07602955999999</v>
      </c>
    </row>
    <row r="69" spans="1:4" x14ac:dyDescent="0.2">
      <c r="A69" s="2" t="s">
        <v>559</v>
      </c>
      <c r="B69" s="4">
        <v>100.07146441</v>
      </c>
      <c r="C69" s="4">
        <v>1</v>
      </c>
      <c r="D69" s="3">
        <f t="shared" ref="D69:D132" si="1">B69/C69</f>
        <v>100.07146441</v>
      </c>
    </row>
    <row r="70" spans="1:4" x14ac:dyDescent="0.2">
      <c r="A70" s="2" t="s">
        <v>613</v>
      </c>
      <c r="B70" s="4">
        <v>100.06014587999999</v>
      </c>
      <c r="C70" s="4">
        <v>1</v>
      </c>
      <c r="D70" s="3">
        <f t="shared" si="1"/>
        <v>100.06014587999999</v>
      </c>
    </row>
    <row r="71" spans="1:4" x14ac:dyDescent="0.2">
      <c r="A71" s="2" t="s">
        <v>574</v>
      </c>
      <c r="B71" s="4">
        <v>100.05952619</v>
      </c>
      <c r="C71" s="4">
        <v>0</v>
      </c>
      <c r="D71" s="3" t="e">
        <f t="shared" si="1"/>
        <v>#DIV/0!</v>
      </c>
    </row>
    <row r="72" spans="1:4" x14ac:dyDescent="0.2">
      <c r="A72" s="2" t="s">
        <v>550</v>
      </c>
      <c r="B72" s="4">
        <v>100.05592935</v>
      </c>
      <c r="C72" s="4">
        <v>0</v>
      </c>
      <c r="D72" s="3" t="e">
        <f t="shared" si="1"/>
        <v>#DIV/0!</v>
      </c>
    </row>
    <row r="73" spans="1:4" x14ac:dyDescent="0.2">
      <c r="A73" s="2" t="s">
        <v>522</v>
      </c>
      <c r="B73" s="4">
        <v>100.05453577</v>
      </c>
      <c r="C73" s="4">
        <v>0</v>
      </c>
      <c r="D73" s="3" t="e">
        <f t="shared" si="1"/>
        <v>#DIV/0!</v>
      </c>
    </row>
    <row r="74" spans="1:4" x14ac:dyDescent="0.2">
      <c r="A74" s="2" t="s">
        <v>595</v>
      </c>
      <c r="B74" s="4">
        <v>100.054</v>
      </c>
      <c r="C74" s="4">
        <v>1</v>
      </c>
      <c r="D74" s="3">
        <f t="shared" si="1"/>
        <v>100.054</v>
      </c>
    </row>
    <row r="75" spans="1:4" x14ac:dyDescent="0.2">
      <c r="A75" s="2" t="s">
        <v>537</v>
      </c>
      <c r="B75" s="4">
        <v>100.0493591</v>
      </c>
      <c r="C75" s="4">
        <v>0</v>
      </c>
      <c r="D75" s="3" t="e">
        <f t="shared" si="1"/>
        <v>#DIV/0!</v>
      </c>
    </row>
    <row r="76" spans="1:4" x14ac:dyDescent="0.2">
      <c r="A76" s="2" t="s">
        <v>620</v>
      </c>
      <c r="B76" s="4">
        <v>100.04882712</v>
      </c>
      <c r="C76" s="4">
        <v>1</v>
      </c>
      <c r="D76" s="3">
        <f t="shared" si="1"/>
        <v>100.04882712</v>
      </c>
    </row>
    <row r="77" spans="1:4" x14ac:dyDescent="0.2">
      <c r="A77" s="2" t="s">
        <v>557</v>
      </c>
      <c r="B77" s="4">
        <v>100.04607867</v>
      </c>
      <c r="C77" s="4">
        <v>0</v>
      </c>
      <c r="D77" s="3" t="e">
        <f t="shared" si="1"/>
        <v>#DIV/0!</v>
      </c>
    </row>
    <row r="78" spans="1:4" x14ac:dyDescent="0.2">
      <c r="A78" s="2" t="s">
        <v>523</v>
      </c>
      <c r="B78" s="4">
        <v>100.044</v>
      </c>
      <c r="C78" s="4">
        <v>0</v>
      </c>
      <c r="D78" s="3" t="e">
        <f t="shared" si="1"/>
        <v>#DIV/0!</v>
      </c>
    </row>
    <row r="79" spans="1:4" x14ac:dyDescent="0.2">
      <c r="A79" s="2" t="s">
        <v>571</v>
      </c>
      <c r="B79" s="4">
        <v>100.04049028</v>
      </c>
      <c r="C79" s="4">
        <v>0</v>
      </c>
      <c r="D79" s="3" t="e">
        <f t="shared" si="1"/>
        <v>#DIV/0!</v>
      </c>
    </row>
    <row r="80" spans="1:4" x14ac:dyDescent="0.2">
      <c r="A80" s="2" t="s">
        <v>618</v>
      </c>
      <c r="B80" s="4">
        <v>100.03155037000001</v>
      </c>
      <c r="C80" s="4">
        <v>0</v>
      </c>
      <c r="D80" s="3" t="e">
        <f t="shared" si="1"/>
        <v>#DIV/0!</v>
      </c>
    </row>
    <row r="81" spans="1:4" x14ac:dyDescent="0.2">
      <c r="A81" s="2" t="s">
        <v>496</v>
      </c>
      <c r="B81" s="4">
        <v>100.03100000000001</v>
      </c>
      <c r="C81" s="4">
        <v>1</v>
      </c>
      <c r="D81" s="3">
        <f t="shared" si="1"/>
        <v>100.03100000000001</v>
      </c>
    </row>
    <row r="82" spans="1:4" x14ac:dyDescent="0.2">
      <c r="A82" s="2" t="s">
        <v>564</v>
      </c>
      <c r="B82" s="4">
        <v>100.03080378</v>
      </c>
      <c r="C82" s="4">
        <v>0</v>
      </c>
      <c r="D82" s="3" t="e">
        <f t="shared" si="1"/>
        <v>#DIV/0!</v>
      </c>
    </row>
    <row r="83" spans="1:4" x14ac:dyDescent="0.2">
      <c r="A83" s="2" t="s">
        <v>504</v>
      </c>
      <c r="B83" s="4">
        <v>100.024241629999</v>
      </c>
      <c r="C83" s="4">
        <v>0</v>
      </c>
      <c r="D83" s="3" t="e">
        <f t="shared" si="1"/>
        <v>#DIV/0!</v>
      </c>
    </row>
    <row r="84" spans="1:4" x14ac:dyDescent="0.2">
      <c r="A84" s="2" t="s">
        <v>598</v>
      </c>
      <c r="B84" s="4">
        <v>100.021</v>
      </c>
      <c r="C84" s="4">
        <v>1</v>
      </c>
      <c r="D84" s="3">
        <f t="shared" si="1"/>
        <v>100.021</v>
      </c>
    </row>
    <row r="85" spans="1:4" x14ac:dyDescent="0.2">
      <c r="A85" s="2" t="s">
        <v>495</v>
      </c>
      <c r="B85" s="4">
        <v>100.02004433</v>
      </c>
      <c r="C85" s="4">
        <v>1</v>
      </c>
      <c r="D85" s="3">
        <f t="shared" si="1"/>
        <v>100.02004433</v>
      </c>
    </row>
    <row r="86" spans="1:4" x14ac:dyDescent="0.2">
      <c r="A86" s="2" t="s">
        <v>581</v>
      </c>
      <c r="B86" s="4">
        <v>100.017</v>
      </c>
      <c r="C86" s="4">
        <v>0</v>
      </c>
      <c r="D86" s="3" t="e">
        <f t="shared" si="1"/>
        <v>#DIV/0!</v>
      </c>
    </row>
    <row r="87" spans="1:4" x14ac:dyDescent="0.2">
      <c r="A87" s="2" t="s">
        <v>547</v>
      </c>
      <c r="B87" s="4">
        <v>100.01654474999999</v>
      </c>
      <c r="C87" s="4">
        <v>0</v>
      </c>
      <c r="D87" s="3" t="e">
        <f t="shared" si="1"/>
        <v>#DIV/0!</v>
      </c>
    </row>
    <row r="88" spans="1:4" x14ac:dyDescent="0.2">
      <c r="A88" s="2" t="s">
        <v>604</v>
      </c>
      <c r="B88" s="4">
        <v>100.015</v>
      </c>
      <c r="C88" s="4">
        <v>0</v>
      </c>
      <c r="D88" s="3" t="e">
        <f t="shared" si="1"/>
        <v>#DIV/0!</v>
      </c>
    </row>
    <row r="89" spans="1:4" x14ac:dyDescent="0.2">
      <c r="A89" s="2" t="s">
        <v>519</v>
      </c>
      <c r="B89" s="4">
        <v>100.012999999999</v>
      </c>
      <c r="C89" s="4">
        <v>0</v>
      </c>
      <c r="D89" s="3" t="e">
        <f t="shared" si="1"/>
        <v>#DIV/0!</v>
      </c>
    </row>
    <row r="90" spans="1:4" x14ac:dyDescent="0.2">
      <c r="A90" s="2" t="s">
        <v>606</v>
      </c>
      <c r="B90" s="4">
        <v>100.01252502</v>
      </c>
      <c r="C90" s="4">
        <v>0</v>
      </c>
      <c r="D90" s="3" t="e">
        <f t="shared" si="1"/>
        <v>#DIV/0!</v>
      </c>
    </row>
    <row r="91" spans="1:4" x14ac:dyDescent="0.2">
      <c r="A91" s="2" t="s">
        <v>479</v>
      </c>
      <c r="B91" s="4">
        <v>100.01102435</v>
      </c>
      <c r="C91" s="4">
        <v>0</v>
      </c>
      <c r="D91" s="3" t="e">
        <f t="shared" si="1"/>
        <v>#DIV/0!</v>
      </c>
    </row>
    <row r="92" spans="1:4" x14ac:dyDescent="0.2">
      <c r="A92" s="2" t="s">
        <v>509</v>
      </c>
      <c r="B92" s="4">
        <v>100.011</v>
      </c>
      <c r="C92" s="4">
        <v>0</v>
      </c>
      <c r="D92" s="3" t="e">
        <f t="shared" si="1"/>
        <v>#DIV/0!</v>
      </c>
    </row>
    <row r="93" spans="1:4" x14ac:dyDescent="0.2">
      <c r="A93" s="2" t="s">
        <v>514</v>
      </c>
      <c r="B93" s="4">
        <v>100.009288689999</v>
      </c>
      <c r="C93" s="4">
        <v>0</v>
      </c>
      <c r="D93" s="3" t="e">
        <f t="shared" si="1"/>
        <v>#DIV/0!</v>
      </c>
    </row>
    <row r="94" spans="1:4" x14ac:dyDescent="0.2">
      <c r="A94" s="2" t="s">
        <v>502</v>
      </c>
      <c r="B94" s="4">
        <v>100.009</v>
      </c>
      <c r="C94" s="4">
        <v>0</v>
      </c>
      <c r="D94" s="3" t="e">
        <f t="shared" si="1"/>
        <v>#DIV/0!</v>
      </c>
    </row>
    <row r="95" spans="1:4" x14ac:dyDescent="0.2">
      <c r="A95" s="2" t="s">
        <v>480</v>
      </c>
      <c r="B95" s="4">
        <v>100.009</v>
      </c>
      <c r="C95" s="4">
        <v>0</v>
      </c>
      <c r="D95" s="3" t="e">
        <f t="shared" si="1"/>
        <v>#DIV/0!</v>
      </c>
    </row>
    <row r="96" spans="1:4" x14ac:dyDescent="0.2">
      <c r="A96" s="2" t="s">
        <v>607</v>
      </c>
      <c r="B96" s="4">
        <v>100.008</v>
      </c>
      <c r="C96" s="4">
        <v>0</v>
      </c>
      <c r="D96" s="3" t="e">
        <f t="shared" si="1"/>
        <v>#DIV/0!</v>
      </c>
    </row>
    <row r="97" spans="1:4" x14ac:dyDescent="0.2">
      <c r="A97" s="2" t="s">
        <v>588</v>
      </c>
      <c r="B97" s="4">
        <v>100.00603776</v>
      </c>
      <c r="C97" s="4">
        <v>0</v>
      </c>
      <c r="D97" s="3" t="e">
        <f t="shared" si="1"/>
        <v>#DIV/0!</v>
      </c>
    </row>
    <row r="98" spans="1:4" x14ac:dyDescent="0.2">
      <c r="A98" s="2" t="s">
        <v>554</v>
      </c>
      <c r="B98" s="4">
        <v>100.006</v>
      </c>
      <c r="C98" s="4">
        <v>0</v>
      </c>
      <c r="D98" s="3" t="e">
        <f t="shared" si="1"/>
        <v>#DIV/0!</v>
      </c>
    </row>
    <row r="99" spans="1:4" x14ac:dyDescent="0.2">
      <c r="A99" s="2" t="s">
        <v>596</v>
      </c>
      <c r="B99" s="4">
        <v>100.005</v>
      </c>
      <c r="C99" s="4">
        <v>0</v>
      </c>
      <c r="D99" s="3" t="e">
        <f t="shared" si="1"/>
        <v>#DIV/0!</v>
      </c>
    </row>
    <row r="100" spans="1:4" x14ac:dyDescent="0.2">
      <c r="A100" s="2" t="s">
        <v>593</v>
      </c>
      <c r="B100" s="4">
        <v>100.005</v>
      </c>
      <c r="C100" s="4">
        <v>0</v>
      </c>
      <c r="D100" s="3" t="e">
        <f t="shared" si="1"/>
        <v>#DIV/0!</v>
      </c>
    </row>
    <row r="101" spans="1:4" x14ac:dyDescent="0.2">
      <c r="A101" s="2" t="s">
        <v>473</v>
      </c>
      <c r="B101" s="4">
        <v>100.0045205</v>
      </c>
      <c r="C101" s="4">
        <v>0</v>
      </c>
      <c r="D101" s="3" t="e">
        <f t="shared" si="1"/>
        <v>#DIV/0!</v>
      </c>
    </row>
    <row r="102" spans="1:4" x14ac:dyDescent="0.2">
      <c r="A102" s="2" t="s">
        <v>556</v>
      </c>
      <c r="B102" s="4">
        <v>100.003999999999</v>
      </c>
      <c r="C102" s="4">
        <v>1</v>
      </c>
      <c r="D102" s="3">
        <f t="shared" si="1"/>
        <v>100.003999999999</v>
      </c>
    </row>
    <row r="103" spans="1:4" x14ac:dyDescent="0.2">
      <c r="A103" s="2" t="s">
        <v>561</v>
      </c>
      <c r="B103" s="4">
        <v>100.00393085</v>
      </c>
      <c r="C103" s="4">
        <v>0</v>
      </c>
      <c r="D103" s="3" t="e">
        <f t="shared" si="1"/>
        <v>#DIV/0!</v>
      </c>
    </row>
    <row r="104" spans="1:4" x14ac:dyDescent="0.2">
      <c r="A104" s="2" t="s">
        <v>578</v>
      </c>
      <c r="B104" s="4">
        <v>96.715000000000003</v>
      </c>
      <c r="C104" s="4">
        <v>3</v>
      </c>
      <c r="D104" s="3">
        <f t="shared" si="1"/>
        <v>32.238333333333337</v>
      </c>
    </row>
    <row r="105" spans="1:4" x14ac:dyDescent="0.2">
      <c r="A105" s="2" t="s">
        <v>568</v>
      </c>
      <c r="B105" s="4">
        <v>88.352000000000004</v>
      </c>
      <c r="C105" s="4">
        <v>1</v>
      </c>
      <c r="D105" s="3">
        <f t="shared" si="1"/>
        <v>88.352000000000004</v>
      </c>
    </row>
    <row r="106" spans="1:4" x14ac:dyDescent="0.2">
      <c r="A106" s="2" t="s">
        <v>528</v>
      </c>
      <c r="B106" s="4">
        <v>72.858000000000004</v>
      </c>
      <c r="C106" s="4">
        <v>0</v>
      </c>
      <c r="D106" s="3" t="e">
        <f t="shared" si="1"/>
        <v>#DIV/0!</v>
      </c>
    </row>
    <row r="107" spans="1:4" x14ac:dyDescent="0.2">
      <c r="A107" s="2" t="s">
        <v>592</v>
      </c>
      <c r="B107" s="4">
        <v>65.091999999999999</v>
      </c>
      <c r="C107" s="4">
        <v>0</v>
      </c>
      <c r="D107" s="3" t="e">
        <f t="shared" si="1"/>
        <v>#DIV/0!</v>
      </c>
    </row>
    <row r="108" spans="1:4" x14ac:dyDescent="0.2">
      <c r="A108" s="2" t="s">
        <v>553</v>
      </c>
      <c r="B108" s="4">
        <v>57.255886779999997</v>
      </c>
      <c r="C108" s="4">
        <v>0</v>
      </c>
      <c r="D108" s="3" t="e">
        <f t="shared" si="1"/>
        <v>#DIV/0!</v>
      </c>
    </row>
    <row r="109" spans="1:4" x14ac:dyDescent="0.2">
      <c r="A109" s="2" t="s">
        <v>566</v>
      </c>
      <c r="B109" s="4">
        <v>55.589268429999997</v>
      </c>
      <c r="C109" s="4">
        <v>0</v>
      </c>
      <c r="D109" s="3" t="e">
        <f t="shared" si="1"/>
        <v>#DIV/0!</v>
      </c>
    </row>
    <row r="110" spans="1:4" x14ac:dyDescent="0.2">
      <c r="A110" s="2" t="s">
        <v>552</v>
      </c>
      <c r="B110" s="4">
        <v>39.29220041</v>
      </c>
      <c r="C110" s="4">
        <v>0</v>
      </c>
      <c r="D110" s="3" t="e">
        <f t="shared" si="1"/>
        <v>#DIV/0!</v>
      </c>
    </row>
    <row r="111" spans="1:4" x14ac:dyDescent="0.2">
      <c r="A111" s="2" t="s">
        <v>472</v>
      </c>
      <c r="B111" s="4">
        <v>39.168999999999997</v>
      </c>
      <c r="C111" s="4">
        <v>0</v>
      </c>
      <c r="D111" s="3" t="e">
        <f t="shared" si="1"/>
        <v>#DIV/0!</v>
      </c>
    </row>
    <row r="112" spans="1:4" x14ac:dyDescent="0.2">
      <c r="A112" s="2" t="s">
        <v>616</v>
      </c>
      <c r="B112" s="4">
        <v>36.530011989999998</v>
      </c>
      <c r="C112" s="4">
        <v>0</v>
      </c>
      <c r="D112" s="3" t="e">
        <f t="shared" si="1"/>
        <v>#DIV/0!</v>
      </c>
    </row>
    <row r="113" spans="1:4" x14ac:dyDescent="0.2">
      <c r="A113" s="2" t="s">
        <v>543</v>
      </c>
      <c r="B113" s="4">
        <v>35.809649299999997</v>
      </c>
      <c r="C113" s="4">
        <v>1</v>
      </c>
      <c r="D113" s="3">
        <f t="shared" si="1"/>
        <v>35.809649299999997</v>
      </c>
    </row>
    <row r="114" spans="1:4" x14ac:dyDescent="0.2">
      <c r="A114" s="2" t="s">
        <v>497</v>
      </c>
      <c r="B114" s="4">
        <v>32.957000000000001</v>
      </c>
      <c r="C114" s="4">
        <v>0</v>
      </c>
      <c r="D114" s="3" t="e">
        <f t="shared" si="1"/>
        <v>#DIV/0!</v>
      </c>
    </row>
    <row r="115" spans="1:4" x14ac:dyDescent="0.2">
      <c r="A115" s="2" t="s">
        <v>512</v>
      </c>
      <c r="B115" s="4">
        <v>31.858186119999999</v>
      </c>
      <c r="C115" s="4">
        <v>0</v>
      </c>
      <c r="D115" s="3" t="e">
        <f t="shared" si="1"/>
        <v>#DIV/0!</v>
      </c>
    </row>
    <row r="116" spans="1:4" x14ac:dyDescent="0.2">
      <c r="A116" s="2" t="s">
        <v>493</v>
      </c>
      <c r="B116" s="4">
        <v>28.176000000000002</v>
      </c>
      <c r="C116" s="4">
        <v>2</v>
      </c>
      <c r="D116" s="3">
        <f t="shared" si="1"/>
        <v>14.088000000000001</v>
      </c>
    </row>
    <row r="117" spans="1:4" x14ac:dyDescent="0.2">
      <c r="A117" s="2" t="s">
        <v>542</v>
      </c>
      <c r="B117" s="4">
        <v>22.044407059999902</v>
      </c>
      <c r="C117" s="4">
        <v>0</v>
      </c>
      <c r="D117" s="3" t="e">
        <f t="shared" si="1"/>
        <v>#DIV/0!</v>
      </c>
    </row>
    <row r="118" spans="1:4" x14ac:dyDescent="0.2">
      <c r="A118" s="2" t="s">
        <v>587</v>
      </c>
      <c r="B118" s="4">
        <v>21.701999999999899</v>
      </c>
      <c r="C118" s="4">
        <v>0</v>
      </c>
      <c r="D118" s="3" t="e">
        <f t="shared" si="1"/>
        <v>#DIV/0!</v>
      </c>
    </row>
    <row r="119" spans="1:4" x14ac:dyDescent="0.2">
      <c r="A119" s="2" t="s">
        <v>582</v>
      </c>
      <c r="B119" s="4">
        <v>21.552</v>
      </c>
      <c r="C119" s="4">
        <v>0</v>
      </c>
      <c r="D119" s="3" t="e">
        <f t="shared" si="1"/>
        <v>#DIV/0!</v>
      </c>
    </row>
    <row r="120" spans="1:4" x14ac:dyDescent="0.2">
      <c r="A120" s="2" t="s">
        <v>594</v>
      </c>
      <c r="B120" s="4">
        <v>20.4113431</v>
      </c>
      <c r="C120" s="4">
        <v>0</v>
      </c>
      <c r="D120" s="3" t="e">
        <f t="shared" si="1"/>
        <v>#DIV/0!</v>
      </c>
    </row>
    <row r="121" spans="1:4" x14ac:dyDescent="0.2">
      <c r="A121" s="2" t="s">
        <v>469</v>
      </c>
      <c r="B121" s="4">
        <v>18.626029899999999</v>
      </c>
      <c r="C121" s="4">
        <v>1</v>
      </c>
      <c r="D121" s="3">
        <f t="shared" si="1"/>
        <v>18.626029899999999</v>
      </c>
    </row>
    <row r="122" spans="1:4" x14ac:dyDescent="0.2">
      <c r="A122" s="2" t="s">
        <v>476</v>
      </c>
      <c r="B122" s="4">
        <v>16.329000000000001</v>
      </c>
      <c r="C122" s="4">
        <v>0</v>
      </c>
      <c r="D122" s="3" t="e">
        <f t="shared" si="1"/>
        <v>#DIV/0!</v>
      </c>
    </row>
    <row r="123" spans="1:4" x14ac:dyDescent="0.2">
      <c r="A123" s="2" t="s">
        <v>589</v>
      </c>
      <c r="B123" s="4">
        <v>15.565</v>
      </c>
      <c r="C123" s="4">
        <v>0</v>
      </c>
      <c r="D123" s="3" t="e">
        <f t="shared" si="1"/>
        <v>#DIV/0!</v>
      </c>
    </row>
    <row r="124" spans="1:4" x14ac:dyDescent="0.2">
      <c r="A124" s="2" t="s">
        <v>544</v>
      </c>
      <c r="B124" s="4">
        <v>15.408697099999999</v>
      </c>
      <c r="C124" s="4">
        <v>0</v>
      </c>
      <c r="D124" s="3" t="e">
        <f t="shared" si="1"/>
        <v>#DIV/0!</v>
      </c>
    </row>
    <row r="125" spans="1:4" x14ac:dyDescent="0.2">
      <c r="A125" s="2" t="s">
        <v>605</v>
      </c>
      <c r="B125" s="4">
        <v>12.964</v>
      </c>
      <c r="C125" s="4">
        <v>0</v>
      </c>
      <c r="D125" s="3" t="e">
        <f t="shared" si="1"/>
        <v>#DIV/0!</v>
      </c>
    </row>
    <row r="126" spans="1:4" x14ac:dyDescent="0.2">
      <c r="A126" s="2" t="s">
        <v>518</v>
      </c>
      <c r="B126" s="4">
        <v>12.795</v>
      </c>
      <c r="C126" s="4">
        <v>1</v>
      </c>
      <c r="D126" s="3">
        <f t="shared" si="1"/>
        <v>12.795</v>
      </c>
    </row>
    <row r="127" spans="1:4" x14ac:dyDescent="0.2">
      <c r="A127" s="2" t="s">
        <v>524</v>
      </c>
      <c r="B127" s="4">
        <v>12.425999999999901</v>
      </c>
      <c r="C127" s="4">
        <v>0</v>
      </c>
      <c r="D127" s="3" t="e">
        <f t="shared" si="1"/>
        <v>#DIV/0!</v>
      </c>
    </row>
    <row r="128" spans="1:4" x14ac:dyDescent="0.2">
      <c r="A128" s="2" t="s">
        <v>579</v>
      </c>
      <c r="B128" s="4">
        <v>11.972</v>
      </c>
      <c r="C128" s="4">
        <v>0</v>
      </c>
      <c r="D128" s="3" t="e">
        <f t="shared" si="1"/>
        <v>#DIV/0!</v>
      </c>
    </row>
    <row r="129" spans="1:4" x14ac:dyDescent="0.2">
      <c r="A129" s="2" t="s">
        <v>527</v>
      </c>
      <c r="B129" s="4">
        <v>11.948</v>
      </c>
      <c r="C129" s="4">
        <v>0</v>
      </c>
      <c r="D129" s="3" t="e">
        <f t="shared" si="1"/>
        <v>#DIV/0!</v>
      </c>
    </row>
    <row r="130" spans="1:4" x14ac:dyDescent="0.2">
      <c r="A130" s="2" t="s">
        <v>541</v>
      </c>
      <c r="B130" s="4">
        <v>11.613</v>
      </c>
      <c r="C130" s="4">
        <v>0</v>
      </c>
      <c r="D130" s="3" t="e">
        <f t="shared" si="1"/>
        <v>#DIV/0!</v>
      </c>
    </row>
    <row r="131" spans="1:4" x14ac:dyDescent="0.2">
      <c r="A131" s="2" t="s">
        <v>614</v>
      </c>
      <c r="B131" s="4">
        <v>10.875999999999999</v>
      </c>
      <c r="C131" s="4">
        <v>0</v>
      </c>
      <c r="D131" s="3" t="e">
        <f t="shared" si="1"/>
        <v>#DIV/0!</v>
      </c>
    </row>
    <row r="132" spans="1:4" x14ac:dyDescent="0.2">
      <c r="A132" s="2" t="s">
        <v>603</v>
      </c>
      <c r="B132" s="4">
        <v>10.611544019999901</v>
      </c>
      <c r="C132" s="4">
        <v>0</v>
      </c>
      <c r="D132" s="3" t="e">
        <f t="shared" si="1"/>
        <v>#DIV/0!</v>
      </c>
    </row>
    <row r="133" spans="1:4" x14ac:dyDescent="0.2">
      <c r="A133" s="2" t="s">
        <v>549</v>
      </c>
      <c r="B133" s="4">
        <v>9.9120000000000008</v>
      </c>
      <c r="C133" s="4">
        <v>1</v>
      </c>
      <c r="D133" s="3">
        <f t="shared" ref="D133:D164" si="2">B133/C133</f>
        <v>9.9120000000000008</v>
      </c>
    </row>
    <row r="134" spans="1:4" x14ac:dyDescent="0.2">
      <c r="A134" s="2" t="s">
        <v>600</v>
      </c>
      <c r="B134" s="4">
        <v>9.5359999999999996</v>
      </c>
      <c r="C134" s="4">
        <v>0</v>
      </c>
      <c r="D134" s="3" t="e">
        <f t="shared" si="2"/>
        <v>#DIV/0!</v>
      </c>
    </row>
    <row r="135" spans="1:4" x14ac:dyDescent="0.2">
      <c r="A135" s="2" t="s">
        <v>534</v>
      </c>
      <c r="B135" s="4">
        <v>8.6910000000000007</v>
      </c>
      <c r="C135" s="4">
        <v>0</v>
      </c>
      <c r="D135" s="3" t="e">
        <f t="shared" si="2"/>
        <v>#DIV/0!</v>
      </c>
    </row>
    <row r="136" spans="1:4" x14ac:dyDescent="0.2">
      <c r="A136" s="2" t="s">
        <v>563</v>
      </c>
      <c r="B136" s="4">
        <v>8.2357408499999991</v>
      </c>
      <c r="C136" s="4">
        <v>0</v>
      </c>
      <c r="D136" s="3" t="e">
        <f t="shared" si="2"/>
        <v>#DIV/0!</v>
      </c>
    </row>
    <row r="137" spans="1:4" x14ac:dyDescent="0.2">
      <c r="A137" s="2" t="s">
        <v>567</v>
      </c>
      <c r="B137" s="4">
        <v>8.1489999999999991</v>
      </c>
      <c r="C137" s="4">
        <v>0</v>
      </c>
      <c r="D137" s="3" t="e">
        <f t="shared" si="2"/>
        <v>#DIV/0!</v>
      </c>
    </row>
    <row r="138" spans="1:4" x14ac:dyDescent="0.2">
      <c r="A138" s="2" t="s">
        <v>602</v>
      </c>
      <c r="B138" s="4">
        <v>7.3819999999999997</v>
      </c>
      <c r="C138" s="4">
        <v>1</v>
      </c>
      <c r="D138" s="3">
        <f t="shared" si="2"/>
        <v>7.3819999999999997</v>
      </c>
    </row>
    <row r="139" spans="1:4" x14ac:dyDescent="0.2">
      <c r="A139" s="2" t="s">
        <v>530</v>
      </c>
      <c r="B139" s="4">
        <v>7.2610000000000001</v>
      </c>
      <c r="C139" s="4">
        <v>0</v>
      </c>
      <c r="D139" s="3" t="e">
        <f t="shared" si="2"/>
        <v>#DIV/0!</v>
      </c>
    </row>
    <row r="140" spans="1:4" x14ac:dyDescent="0.2">
      <c r="A140" s="2" t="s">
        <v>575</v>
      </c>
      <c r="B140" s="4">
        <v>7.0379999999999896</v>
      </c>
      <c r="C140" s="4">
        <v>0</v>
      </c>
      <c r="D140" s="3" t="e">
        <f t="shared" si="2"/>
        <v>#DIV/0!</v>
      </c>
    </row>
    <row r="141" spans="1:4" x14ac:dyDescent="0.2">
      <c r="A141" s="2" t="s">
        <v>572</v>
      </c>
      <c r="B141" s="4">
        <v>6.1749999999999998</v>
      </c>
      <c r="C141" s="4">
        <v>0</v>
      </c>
      <c r="D141" s="3" t="e">
        <f t="shared" si="2"/>
        <v>#DIV/0!</v>
      </c>
    </row>
    <row r="142" spans="1:4" x14ac:dyDescent="0.2">
      <c r="A142" s="2" t="s">
        <v>498</v>
      </c>
      <c r="B142" s="4">
        <v>5.6029999999999998</v>
      </c>
      <c r="C142" s="4">
        <v>0</v>
      </c>
      <c r="D142" s="3" t="e">
        <f t="shared" si="2"/>
        <v>#DIV/0!</v>
      </c>
    </row>
    <row r="143" spans="1:4" x14ac:dyDescent="0.2">
      <c r="A143" s="2" t="s">
        <v>586</v>
      </c>
      <c r="B143" s="4">
        <v>5.5020063300000004</v>
      </c>
      <c r="C143" s="4">
        <v>0</v>
      </c>
      <c r="D143" s="3" t="e">
        <f t="shared" si="2"/>
        <v>#DIV/0!</v>
      </c>
    </row>
    <row r="144" spans="1:4" x14ac:dyDescent="0.2">
      <c r="A144" s="2" t="s">
        <v>609</v>
      </c>
      <c r="B144" s="4">
        <v>4.4204938800000004</v>
      </c>
      <c r="C144" s="4">
        <v>0</v>
      </c>
      <c r="D144" s="3" t="e">
        <f t="shared" si="2"/>
        <v>#DIV/0!</v>
      </c>
    </row>
    <row r="145" spans="1:4" x14ac:dyDescent="0.2">
      <c r="A145" s="2" t="s">
        <v>590</v>
      </c>
      <c r="B145" s="4">
        <v>3.3686375599999998</v>
      </c>
      <c r="C145" s="4">
        <v>0</v>
      </c>
      <c r="D145" s="3" t="e">
        <f t="shared" si="2"/>
        <v>#DIV/0!</v>
      </c>
    </row>
    <row r="146" spans="1:4" x14ac:dyDescent="0.2">
      <c r="A146" s="2" t="s">
        <v>583</v>
      </c>
      <c r="B146" s="4">
        <v>3.3366038800000002</v>
      </c>
      <c r="C146" s="4">
        <v>0</v>
      </c>
      <c r="D146" s="3" t="e">
        <f t="shared" si="2"/>
        <v>#DIV/0!</v>
      </c>
    </row>
    <row r="147" spans="1:4" x14ac:dyDescent="0.2">
      <c r="A147" s="2" t="s">
        <v>520</v>
      </c>
      <c r="B147" s="4">
        <v>3.1382789500000001</v>
      </c>
      <c r="C147" s="4">
        <v>0</v>
      </c>
      <c r="D147" s="3" t="e">
        <f t="shared" si="2"/>
        <v>#DIV/0!</v>
      </c>
    </row>
    <row r="148" spans="1:4" x14ac:dyDescent="0.2">
      <c r="A148" s="2" t="s">
        <v>481</v>
      </c>
      <c r="B148" s="4">
        <v>3.1159263499999899</v>
      </c>
      <c r="C148" s="4">
        <v>0</v>
      </c>
      <c r="D148" s="3" t="e">
        <f t="shared" si="2"/>
        <v>#DIV/0!</v>
      </c>
    </row>
    <row r="149" spans="1:4" x14ac:dyDescent="0.2">
      <c r="A149" s="2" t="s">
        <v>529</v>
      </c>
      <c r="B149" s="4">
        <v>2.6815559499999999</v>
      </c>
      <c r="C149" s="4">
        <v>0</v>
      </c>
      <c r="D149" s="3" t="e">
        <f t="shared" si="2"/>
        <v>#DIV/0!</v>
      </c>
    </row>
    <row r="150" spans="1:4" x14ac:dyDescent="0.2">
      <c r="A150" s="2" t="s">
        <v>591</v>
      </c>
      <c r="B150" s="4">
        <v>2.35427242</v>
      </c>
      <c r="C150" s="4">
        <v>0</v>
      </c>
      <c r="D150" s="3" t="e">
        <f t="shared" si="2"/>
        <v>#DIV/0!</v>
      </c>
    </row>
    <row r="151" spans="1:4" x14ac:dyDescent="0.2">
      <c r="A151" s="2" t="s">
        <v>615</v>
      </c>
      <c r="B151" s="4">
        <v>2.31256964</v>
      </c>
      <c r="C151" s="4">
        <v>0</v>
      </c>
      <c r="D151" s="3" t="e">
        <f t="shared" si="2"/>
        <v>#DIV/0!</v>
      </c>
    </row>
    <row r="152" spans="1:4" x14ac:dyDescent="0.2">
      <c r="A152" s="2" t="s">
        <v>539</v>
      </c>
      <c r="B152" s="4">
        <v>2.23681705</v>
      </c>
      <c r="C152" s="4">
        <v>0</v>
      </c>
      <c r="D152" s="3" t="e">
        <f t="shared" si="2"/>
        <v>#DIV/0!</v>
      </c>
    </row>
    <row r="153" spans="1:4" x14ac:dyDescent="0.2">
      <c r="A153" s="2" t="s">
        <v>506</v>
      </c>
      <c r="B153" s="4">
        <v>2.20264028999999</v>
      </c>
      <c r="C153" s="4">
        <v>0</v>
      </c>
      <c r="D153" s="3" t="e">
        <f t="shared" si="2"/>
        <v>#DIV/0!</v>
      </c>
    </row>
    <row r="154" spans="1:4" x14ac:dyDescent="0.2">
      <c r="A154" s="2" t="s">
        <v>565</v>
      </c>
      <c r="B154" s="4">
        <v>1.47460615999999</v>
      </c>
      <c r="C154" s="4">
        <v>0</v>
      </c>
      <c r="D154" s="3" t="e">
        <f t="shared" si="2"/>
        <v>#DIV/0!</v>
      </c>
    </row>
    <row r="155" spans="1:4" x14ac:dyDescent="0.2">
      <c r="A155" s="2" t="s">
        <v>626</v>
      </c>
      <c r="B155" s="4">
        <v>1.4398678699999901</v>
      </c>
      <c r="C155" s="4">
        <v>0</v>
      </c>
      <c r="D155" s="3" t="e">
        <f t="shared" si="2"/>
        <v>#DIV/0!</v>
      </c>
    </row>
    <row r="156" spans="1:4" x14ac:dyDescent="0.2">
      <c r="A156" s="2" t="s">
        <v>468</v>
      </c>
      <c r="B156" s="4">
        <v>1.43806992</v>
      </c>
      <c r="C156" s="4">
        <v>0</v>
      </c>
      <c r="D156" s="3" t="e">
        <f t="shared" si="2"/>
        <v>#DIV/0!</v>
      </c>
    </row>
    <row r="157" spans="1:4" x14ac:dyDescent="0.2">
      <c r="A157" s="2" t="s">
        <v>551</v>
      </c>
      <c r="B157" s="4">
        <v>1.0658826100000001</v>
      </c>
      <c r="C157" s="4">
        <v>0</v>
      </c>
      <c r="D157" s="3" t="e">
        <f t="shared" si="2"/>
        <v>#DIV/0!</v>
      </c>
    </row>
    <row r="158" spans="1:4" x14ac:dyDescent="0.2">
      <c r="A158" s="2" t="s">
        <v>570</v>
      </c>
      <c r="B158" s="4">
        <v>0.99363926999999996</v>
      </c>
      <c r="C158" s="4">
        <v>0</v>
      </c>
      <c r="D158" s="3" t="e">
        <f t="shared" si="2"/>
        <v>#DIV/0!</v>
      </c>
    </row>
    <row r="159" spans="1:4" x14ac:dyDescent="0.2">
      <c r="A159" s="2" t="s">
        <v>625</v>
      </c>
      <c r="B159" s="4">
        <v>0.88769927999999998</v>
      </c>
      <c r="C159" s="4">
        <v>0</v>
      </c>
      <c r="D159" s="3" t="e">
        <f t="shared" si="2"/>
        <v>#DIV/0!</v>
      </c>
    </row>
    <row r="160" spans="1:4" x14ac:dyDescent="0.2">
      <c r="A160" s="2" t="s">
        <v>611</v>
      </c>
      <c r="B160" s="4">
        <v>0.67057584000000003</v>
      </c>
      <c r="C160" s="4">
        <v>0</v>
      </c>
      <c r="D160" s="3" t="e">
        <f t="shared" si="2"/>
        <v>#DIV/0!</v>
      </c>
    </row>
    <row r="161" spans="1:4" x14ac:dyDescent="0.2">
      <c r="A161" s="2" t="s">
        <v>617</v>
      </c>
      <c r="B161" s="4">
        <v>0.55054667999999995</v>
      </c>
      <c r="C161" s="4">
        <v>0</v>
      </c>
      <c r="D161" s="3" t="e">
        <f t="shared" si="2"/>
        <v>#DIV/0!</v>
      </c>
    </row>
    <row r="162" spans="1:4" x14ac:dyDescent="0.2">
      <c r="A162" s="2" t="s">
        <v>627</v>
      </c>
      <c r="B162" s="4"/>
      <c r="C162" s="4"/>
      <c r="D162" s="3" t="e">
        <f t="shared" si="2"/>
        <v>#DIV/0!</v>
      </c>
    </row>
    <row r="163" spans="1:4" x14ac:dyDescent="0.2">
      <c r="A163" s="2" t="s">
        <v>526</v>
      </c>
      <c r="B163" s="4">
        <v>0</v>
      </c>
      <c r="C163" s="4">
        <v>0</v>
      </c>
      <c r="D163" s="3" t="e">
        <f t="shared" si="2"/>
        <v>#DIV/0!</v>
      </c>
    </row>
    <row r="164" spans="1:4" x14ac:dyDescent="0.2">
      <c r="A164" s="2" t="s">
        <v>628</v>
      </c>
      <c r="B164" s="4">
        <v>123211.17613602988</v>
      </c>
      <c r="C164" s="4">
        <v>1468</v>
      </c>
      <c r="D164" s="3">
        <f t="shared" si="2"/>
        <v>83.931318893753328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0E4EC-EFDF-4D43-9390-150F7D3FEC08}">
  <dimension ref="A1:F245"/>
  <sheetViews>
    <sheetView workbookViewId="0">
      <selection activeCell="F34" sqref="A34:F34"/>
    </sheetView>
  </sheetViews>
  <sheetFormatPr baseColWidth="10" defaultRowHeight="16" x14ac:dyDescent="0.2"/>
  <cols>
    <col min="1" max="1" width="18.5" style="8" customWidth="1"/>
    <col min="2" max="5" width="10.83203125" style="8"/>
    <col min="6" max="6" width="13.83203125" style="8" bestFit="1" customWidth="1"/>
    <col min="7" max="16384" width="10.83203125" style="5"/>
  </cols>
  <sheetData>
    <row r="1" spans="1:6" x14ac:dyDescent="0.2">
      <c r="A1" s="7" t="s">
        <v>631</v>
      </c>
      <c r="B1" s="8" t="s">
        <v>876</v>
      </c>
      <c r="C1" s="8" t="s">
        <v>8</v>
      </c>
      <c r="D1" s="8" t="s">
        <v>630</v>
      </c>
      <c r="E1" s="8" t="s">
        <v>877</v>
      </c>
      <c r="F1" s="8" t="s">
        <v>878</v>
      </c>
    </row>
    <row r="2" spans="1:6" x14ac:dyDescent="0.2">
      <c r="A2" s="6" t="s">
        <v>693</v>
      </c>
      <c r="B2" s="8" t="str" cm="1">
        <f t="array" ref="B2">INDEX(_xlfn.TEXTSPLIT(A2,","),1)</f>
        <v>stripper</v>
      </c>
      <c r="C2" s="10">
        <f>IFERROR(_xlfn.XLOOKUP(B2,Sheet2!A:A,Sheet2!B:B,"Missing",0),200)</f>
        <v>7.3819999999999997</v>
      </c>
      <c r="D2" s="9">
        <f>IFERROR(_xlfn.XLOOKUP(B2,Sheet2!A:A,Sheet2!C:C,"Missing",0),200)</f>
        <v>1</v>
      </c>
      <c r="E2" s="9">
        <f>IFERROR(_xlfn.XLOOKUP(B2,Sheet2!A:A,Sheet2!D:D,"Missing",0),200)</f>
        <v>7.3819999999999997</v>
      </c>
      <c r="F2" s="9" t="s">
        <v>879</v>
      </c>
    </row>
    <row r="3" spans="1:6" x14ac:dyDescent="0.2">
      <c r="A3" s="6" t="s">
        <v>697</v>
      </c>
      <c r="B3" s="8" t="str" cm="1">
        <f t="array" ref="B3">INDEX(_xlfn.TEXTSPLIT(A3,","),1)</f>
        <v>maid</v>
      </c>
      <c r="C3" s="10">
        <f>IFERROR(_xlfn.XLOOKUP(B3,Sheet2!A:A,Sheet2!B:B,"Missing",0),200)</f>
        <v>9.9120000000000008</v>
      </c>
      <c r="D3" s="9">
        <f>IFERROR(_xlfn.XLOOKUP(B3,Sheet2!A:A,Sheet2!C:C,"Missing",0),200)</f>
        <v>1</v>
      </c>
      <c r="E3" s="9">
        <f>IFERROR(_xlfn.XLOOKUP(B3,Sheet2!A:A,Sheet2!D:D,"Missing",0),200)</f>
        <v>9.9120000000000008</v>
      </c>
      <c r="F3" s="9" t="s">
        <v>879</v>
      </c>
    </row>
    <row r="4" spans="1:6" x14ac:dyDescent="0.2">
      <c r="A4" s="6" t="s">
        <v>746</v>
      </c>
      <c r="B4" s="8" t="str" cm="1">
        <f t="array" ref="B4">INDEX(_xlfn.TEXTSPLIT(A4,","),1)</f>
        <v>femdom</v>
      </c>
      <c r="C4" s="10">
        <f>IFERROR(_xlfn.XLOOKUP(B4,Sheet2!A:A,Sheet2!B:B,"Missing",0),200)</f>
        <v>12.795</v>
      </c>
      <c r="D4" s="9">
        <f>IFERROR(_xlfn.XLOOKUP(B4,Sheet2!A:A,Sheet2!C:C,"Missing",0),200)</f>
        <v>1</v>
      </c>
      <c r="E4" s="9">
        <f>IFERROR(_xlfn.XLOOKUP(B4,Sheet2!A:A,Sheet2!D:D,"Missing",0),200)</f>
        <v>12.795</v>
      </c>
      <c r="F4" s="9" t="s">
        <v>879</v>
      </c>
    </row>
    <row r="5" spans="1:6" x14ac:dyDescent="0.2">
      <c r="A5" s="6" t="s">
        <v>695</v>
      </c>
      <c r="B5" s="8" t="str" cm="1">
        <f t="array" ref="B5">INDEX(_xlfn.TEXTSPLIT(A5,","),1)</f>
        <v>ahegao</v>
      </c>
      <c r="C5" s="10">
        <f>IFERROR(_xlfn.XLOOKUP(B5,Sheet2!A:A,Sheet2!B:B,"Missing",0),200)</f>
        <v>18.626029899999999</v>
      </c>
      <c r="D5" s="9">
        <f>IFERROR(_xlfn.XLOOKUP(B5,Sheet2!A:A,Sheet2!C:C,"Missing",0),200)</f>
        <v>1</v>
      </c>
      <c r="E5" s="9">
        <f>IFERROR(_xlfn.XLOOKUP(B5,Sheet2!A:A,Sheet2!D:D,"Missing",0),200)</f>
        <v>18.626029899999999</v>
      </c>
      <c r="F5" s="9" t="s">
        <v>879</v>
      </c>
    </row>
    <row r="6" spans="1:6" x14ac:dyDescent="0.2">
      <c r="A6" s="6" t="s">
        <v>740</v>
      </c>
      <c r="B6" s="8" t="str" cm="1">
        <f t="array" ref="B6">INDEX(_xlfn.TEXTSPLIT(A6,","),1)</f>
        <v>pregnant</v>
      </c>
      <c r="C6" s="10">
        <f>IFERROR(_xlfn.XLOOKUP(B6,Sheet2!A:A,Sheet2!B:B,"Missing",0),200)</f>
        <v>96.715000000000003</v>
      </c>
      <c r="D6" s="9">
        <f>IFERROR(_xlfn.XLOOKUP(B6,Sheet2!A:A,Sheet2!C:C,"Missing",0),200)</f>
        <v>3</v>
      </c>
      <c r="E6" s="9">
        <f>IFERROR(_xlfn.XLOOKUP(B6,Sheet2!A:A,Sheet2!D:D,"Missing",0),200)</f>
        <v>32.238333333333337</v>
      </c>
      <c r="F6" s="9" t="s">
        <v>879</v>
      </c>
    </row>
    <row r="7" spans="1:6" x14ac:dyDescent="0.2">
      <c r="A7" s="6" t="s">
        <v>684</v>
      </c>
      <c r="B7" s="8" t="str" cm="1">
        <f t="array" ref="B7">INDEX(_xlfn.TEXTSPLIT(A7,","),1)</f>
        <v>goth</v>
      </c>
      <c r="C7" s="10">
        <f>IFERROR(_xlfn.XLOOKUP(B7,Sheet2!A:A,Sheet2!B:B,"Missing",0),200)</f>
        <v>142.21100000000001</v>
      </c>
      <c r="D7" s="9">
        <f>IFERROR(_xlfn.XLOOKUP(B7,Sheet2!A:A,Sheet2!C:C,"Missing",0),200)</f>
        <v>4</v>
      </c>
      <c r="E7" s="9">
        <f>IFERROR(_xlfn.XLOOKUP(B7,Sheet2!A:A,Sheet2!D:D,"Missing",0),200)</f>
        <v>35.552750000000003</v>
      </c>
      <c r="F7" s="9" t="s">
        <v>879</v>
      </c>
    </row>
    <row r="8" spans="1:6" x14ac:dyDescent="0.2">
      <c r="A8" s="6" t="s">
        <v>715</v>
      </c>
      <c r="B8" s="8" t="str" cm="1">
        <f t="array" ref="B8">INDEX(_xlfn.TEXTSPLIT(A8,","),1)</f>
        <v>latex</v>
      </c>
      <c r="C8" s="10">
        <f>IFERROR(_xlfn.XLOOKUP(B8,Sheet2!A:A,Sheet2!B:B,"Missing",0),200)</f>
        <v>35.809649299999997</v>
      </c>
      <c r="D8" s="9">
        <f>IFERROR(_xlfn.XLOOKUP(B8,Sheet2!A:A,Sheet2!C:C,"Missing",0),200)</f>
        <v>1</v>
      </c>
      <c r="E8" s="9">
        <f>IFERROR(_xlfn.XLOOKUP(B8,Sheet2!A:A,Sheet2!D:D,"Missing",0),200)</f>
        <v>35.809649299999997</v>
      </c>
      <c r="F8" s="9" t="s">
        <v>879</v>
      </c>
    </row>
    <row r="9" spans="1:6" x14ac:dyDescent="0.2">
      <c r="A9" s="6" t="s">
        <v>714</v>
      </c>
      <c r="B9" s="8" t="str" cm="1">
        <f t="array" ref="B9">INDEX(_xlfn.TEXTSPLIT(A9,","),1)</f>
        <v>feet</v>
      </c>
      <c r="C9" s="10">
        <f>IFERROR(_xlfn.XLOOKUP(B9,Sheet2!A:A,Sheet2!B:B,"Missing",0),200)</f>
        <v>226.33699999999999</v>
      </c>
      <c r="D9" s="9">
        <f>IFERROR(_xlfn.XLOOKUP(B9,Sheet2!A:A,Sheet2!C:C,"Missing",0),200)</f>
        <v>6</v>
      </c>
      <c r="E9" s="9">
        <f>IFERROR(_xlfn.XLOOKUP(B9,Sheet2!A:A,Sheet2!D:D,"Missing",0),200)</f>
        <v>37.722833333333334</v>
      </c>
      <c r="F9" s="9" t="s">
        <v>879</v>
      </c>
    </row>
    <row r="10" spans="1:6" x14ac:dyDescent="0.2">
      <c r="A10" s="6" t="s">
        <v>692</v>
      </c>
      <c r="B10" s="8" t="str" cm="1">
        <f t="array" ref="B10">INDEX(_xlfn.TEXTSPLIT(A10,","),1)</f>
        <v>public</v>
      </c>
      <c r="C10" s="10">
        <f>IFERROR(_xlfn.XLOOKUP(B10,Sheet2!A:A,Sheet2!B:B,"Missing",0),200)</f>
        <v>306.16199999999998</v>
      </c>
      <c r="D10" s="9">
        <f>IFERROR(_xlfn.XLOOKUP(B10,Sheet2!A:A,Sheet2!C:C,"Missing",0),200)</f>
        <v>6</v>
      </c>
      <c r="E10" s="9">
        <f>IFERROR(_xlfn.XLOOKUP(B10,Sheet2!A:A,Sheet2!D:D,"Missing",0),200)</f>
        <v>51.026999999999994</v>
      </c>
      <c r="F10" s="9" t="s">
        <v>879</v>
      </c>
    </row>
    <row r="11" spans="1:6" x14ac:dyDescent="0.2">
      <c r="A11" s="6" t="s">
        <v>690</v>
      </c>
      <c r="B11" s="8" t="str" cm="1">
        <f t="array" ref="B11">INDEX(_xlfn.TEXTSPLIT(A11,","),1)</f>
        <v>orgy</v>
      </c>
      <c r="C11" s="10">
        <f>IFERROR(_xlfn.XLOOKUP(B11,Sheet2!A:A,Sheet2!B:B,"Missing",0),200)</f>
        <v>359.60758243999999</v>
      </c>
      <c r="D11" s="9">
        <f>IFERROR(_xlfn.XLOOKUP(B11,Sheet2!A:A,Sheet2!C:C,"Missing",0),200)</f>
        <v>7</v>
      </c>
      <c r="E11" s="9">
        <f>IFERROR(_xlfn.XLOOKUP(B11,Sheet2!A:A,Sheet2!D:D,"Missing",0),200)</f>
        <v>51.372511777142854</v>
      </c>
      <c r="F11" s="9" t="s">
        <v>879</v>
      </c>
    </row>
    <row r="12" spans="1:6" x14ac:dyDescent="0.2">
      <c r="A12" s="6" t="s">
        <v>691</v>
      </c>
      <c r="B12" s="8" t="str" cm="1">
        <f t="array" ref="B12">INDEX(_xlfn.TEXTSPLIT(A12,","),1)</f>
        <v>straight</v>
      </c>
      <c r="C12" s="10">
        <f>IFERROR(_xlfn.XLOOKUP(B12,Sheet2!A:A,Sheet2!B:B,"Missing",0),200)</f>
        <v>159.94499999999999</v>
      </c>
      <c r="D12" s="9">
        <f>IFERROR(_xlfn.XLOOKUP(B12,Sheet2!A:A,Sheet2!C:C,"Missing",0),200)</f>
        <v>3</v>
      </c>
      <c r="E12" s="9">
        <f>IFERROR(_xlfn.XLOOKUP(B12,Sheet2!A:A,Sheet2!D:D,"Missing",0),200)</f>
        <v>53.314999999999998</v>
      </c>
      <c r="F12" s="9" t="s">
        <v>879</v>
      </c>
    </row>
    <row r="13" spans="1:6" x14ac:dyDescent="0.2">
      <c r="A13" s="6" t="s">
        <v>721</v>
      </c>
      <c r="B13" s="8" t="str" cm="1">
        <f t="array" ref="B13">INDEX(_xlfn.TEXTSPLIT(A13,","),1)</f>
        <v>fisting</v>
      </c>
      <c r="C13" s="10">
        <f>IFERROR(_xlfn.XLOOKUP(B13,Sheet2!A:A,Sheet2!B:B,"Missing",0),200)</f>
        <v>109.378999999999</v>
      </c>
      <c r="D13" s="9">
        <f>IFERROR(_xlfn.XLOOKUP(B13,Sheet2!A:A,Sheet2!C:C,"Missing",0),200)</f>
        <v>2</v>
      </c>
      <c r="E13" s="9">
        <f>IFERROR(_xlfn.XLOOKUP(B13,Sheet2!A:A,Sheet2!D:D,"Missing",0),200)</f>
        <v>54.689499999999498</v>
      </c>
      <c r="F13" s="9" t="s">
        <v>879</v>
      </c>
    </row>
    <row r="14" spans="1:6" x14ac:dyDescent="0.2">
      <c r="A14" s="6" t="s">
        <v>784</v>
      </c>
      <c r="B14" s="8" t="str" cm="1">
        <f t="array" ref="B14">INDEX(_xlfn.TEXTSPLIT(A14,","),1)</f>
        <v>demon</v>
      </c>
      <c r="C14" s="10">
        <f>IFERROR(_xlfn.XLOOKUP(B14,Sheet2!A:A,Sheet2!B:B,"Missing",0),200)</f>
        <v>502.87299301000002</v>
      </c>
      <c r="D14" s="9">
        <f>IFERROR(_xlfn.XLOOKUP(B14,Sheet2!A:A,Sheet2!C:C,"Missing",0),200)</f>
        <v>9</v>
      </c>
      <c r="E14" s="9">
        <f>IFERROR(_xlfn.XLOOKUP(B14,Sheet2!A:A,Sheet2!D:D,"Missing",0),200)</f>
        <v>55.874777001111113</v>
      </c>
      <c r="F14" s="9" t="s">
        <v>879</v>
      </c>
    </row>
    <row r="15" spans="1:6" x14ac:dyDescent="0.2">
      <c r="A15" s="6" t="s">
        <v>703</v>
      </c>
      <c r="B15" s="8" t="str" cm="1">
        <f t="array" ref="B15">INDEX(_xlfn.TEXTSPLIT(A15,","),1)</f>
        <v>hotel</v>
      </c>
      <c r="C15" s="10">
        <f>IFERROR(_xlfn.XLOOKUP(B15,Sheet2!A:A,Sheet2!B:B,"Missing",0),200)</f>
        <v>179.02599999999899</v>
      </c>
      <c r="D15" s="9">
        <f>IFERROR(_xlfn.XLOOKUP(B15,Sheet2!A:A,Sheet2!C:C,"Missing",0),200)</f>
        <v>3</v>
      </c>
      <c r="E15" s="9">
        <f>IFERROR(_xlfn.XLOOKUP(B15,Sheet2!A:A,Sheet2!D:D,"Missing",0),200)</f>
        <v>59.675333333332993</v>
      </c>
      <c r="F15" s="9" t="s">
        <v>879</v>
      </c>
    </row>
    <row r="16" spans="1:6" x14ac:dyDescent="0.2">
      <c r="A16" s="6" t="s">
        <v>780</v>
      </c>
      <c r="B16" s="8" t="str" cm="1">
        <f t="array" ref="B16">INDEX(_xlfn.TEXTSPLIT(A16,","),1)</f>
        <v>monster</v>
      </c>
      <c r="C16" s="10">
        <f>IFERROR(_xlfn.XLOOKUP(B16,Sheet2!A:A,Sheet2!B:B,"Missing",0),200)</f>
        <v>123.149</v>
      </c>
      <c r="D16" s="9">
        <f>IFERROR(_xlfn.XLOOKUP(B16,Sheet2!A:A,Sheet2!C:C,"Missing",0),200)</f>
        <v>2</v>
      </c>
      <c r="E16" s="9">
        <f>IFERROR(_xlfn.XLOOKUP(B16,Sheet2!A:A,Sheet2!D:D,"Missing",0),200)</f>
        <v>61.5745</v>
      </c>
      <c r="F16" s="9" t="s">
        <v>879</v>
      </c>
    </row>
    <row r="17" spans="1:6" x14ac:dyDescent="0.2">
      <c r="A17" s="6" t="s">
        <v>723</v>
      </c>
      <c r="B17" s="8" t="str" cm="1">
        <f t="array" ref="B17">INDEX(_xlfn.TEXTSPLIT(A17,","),1)</f>
        <v>facesitting</v>
      </c>
      <c r="C17" s="10">
        <f>IFERROR(_xlfn.XLOOKUP(B17,Sheet2!A:A,Sheet2!B:B,"Missing",0),200)</f>
        <v>188.35599999999999</v>
      </c>
      <c r="D17" s="9">
        <f>IFERROR(_xlfn.XLOOKUP(B17,Sheet2!A:A,Sheet2!C:C,"Missing",0),200)</f>
        <v>3</v>
      </c>
      <c r="E17" s="9">
        <f>IFERROR(_xlfn.XLOOKUP(B17,Sheet2!A:A,Sheet2!D:D,"Missing",0),200)</f>
        <v>62.785333333333334</v>
      </c>
      <c r="F17" s="9" t="s">
        <v>879</v>
      </c>
    </row>
    <row r="18" spans="1:6" x14ac:dyDescent="0.2">
      <c r="A18" s="6" t="s">
        <v>653</v>
      </c>
      <c r="B18" s="8" t="str" cm="1">
        <f t="array" ref="B18">INDEX(_xlfn.TEXTSPLIT(A18,","),1)</f>
        <v>japanese</v>
      </c>
      <c r="C18" s="10">
        <f>IFERROR(_xlfn.XLOOKUP(B18,Sheet2!A:A,Sheet2!B:B,"Missing",0),200)</f>
        <v>263.94799999999998</v>
      </c>
      <c r="D18" s="9">
        <f>IFERROR(_xlfn.XLOOKUP(B18,Sheet2!A:A,Sheet2!C:C,"Missing",0),200)</f>
        <v>4</v>
      </c>
      <c r="E18" s="9">
        <f>IFERROR(_xlfn.XLOOKUP(B18,Sheet2!A:A,Sheet2!D:D,"Missing",0),200)</f>
        <v>65.986999999999995</v>
      </c>
      <c r="F18" s="9" t="s">
        <v>880</v>
      </c>
    </row>
    <row r="19" spans="1:6" x14ac:dyDescent="0.2">
      <c r="A19" s="6" t="s">
        <v>649</v>
      </c>
      <c r="B19" s="8" t="str" cm="1">
        <f t="array" ref="B19">INDEX(_xlfn.TEXTSPLIT(A19,","),1)</f>
        <v>lesbian</v>
      </c>
      <c r="C19" s="10">
        <f>IFERROR(_xlfn.XLOOKUP(B19,Sheet2!A:A,Sheet2!B:B,"Missing",0),200)</f>
        <v>481.93861697</v>
      </c>
      <c r="D19" s="9">
        <f>IFERROR(_xlfn.XLOOKUP(B19,Sheet2!A:A,Sheet2!C:C,"Missing",0),200)</f>
        <v>7</v>
      </c>
      <c r="E19" s="9">
        <f>IFERROR(_xlfn.XLOOKUP(B19,Sheet2!A:A,Sheet2!D:D,"Missing",0),200)</f>
        <v>68.848373852857137</v>
      </c>
      <c r="F19" s="9" t="s">
        <v>880</v>
      </c>
    </row>
    <row r="20" spans="1:6" x14ac:dyDescent="0.2">
      <c r="A20" s="6" t="s">
        <v>689</v>
      </c>
      <c r="B20" s="8" t="str" cm="1">
        <f t="array" ref="B20">INDEX(_xlfn.TEXTSPLIT(A20,","),1)</f>
        <v>petite</v>
      </c>
      <c r="C20" s="10">
        <f>IFERROR(_xlfn.XLOOKUP(B20,Sheet2!A:A,Sheet2!B:B,"Missing",0),200)</f>
        <v>214.298</v>
      </c>
      <c r="D20" s="9">
        <f>IFERROR(_xlfn.XLOOKUP(B20,Sheet2!A:A,Sheet2!C:C,"Missing",0),200)</f>
        <v>3</v>
      </c>
      <c r="E20" s="9">
        <f>IFERROR(_xlfn.XLOOKUP(B20,Sheet2!A:A,Sheet2!D:D,"Missing",0),200)</f>
        <v>71.432666666666663</v>
      </c>
      <c r="F20" s="9" t="s">
        <v>880</v>
      </c>
    </row>
    <row r="21" spans="1:6" x14ac:dyDescent="0.2">
      <c r="A21" s="6" t="s">
        <v>637</v>
      </c>
      <c r="B21" s="8" t="str" cm="1">
        <f t="array" ref="B21">INDEX(_xlfn.TEXTSPLIT(A21,","),1)</f>
        <v>Disney</v>
      </c>
      <c r="C21" s="10">
        <f>IFERROR(_xlfn.XLOOKUP(B21,Sheet2!A:A,Sheet2!B:B,"Missing",0),200)</f>
        <v>2116.5417058899902</v>
      </c>
      <c r="D21" s="9">
        <f>IFERROR(_xlfn.XLOOKUP(B21,Sheet2!A:A,Sheet2!C:C,"Missing",0),200)</f>
        <v>29</v>
      </c>
      <c r="E21" s="9">
        <f>IFERROR(_xlfn.XLOOKUP(B21,Sheet2!A:A,Sheet2!D:D,"Missing",0),200)</f>
        <v>72.984196754827252</v>
      </c>
      <c r="F21" s="9" t="s">
        <v>880</v>
      </c>
    </row>
    <row r="22" spans="1:6" x14ac:dyDescent="0.2">
      <c r="A22" s="6" t="s">
        <v>791</v>
      </c>
      <c r="B22" s="8" t="str" cm="1">
        <f t="array" ref="B22">INDEX(_xlfn.TEXTSPLIT(A22,","),1)</f>
        <v>misty</v>
      </c>
      <c r="C22" s="10">
        <f>IFERROR(_xlfn.XLOOKUP(B22,Sheet2!A:A,Sheet2!B:B,"Missing",0),200)</f>
        <v>800.61478679000004</v>
      </c>
      <c r="D22" s="9">
        <f>IFERROR(_xlfn.XLOOKUP(B22,Sheet2!A:A,Sheet2!C:C,"Missing",0),200)</f>
        <v>10</v>
      </c>
      <c r="E22" s="9">
        <f>IFERROR(_xlfn.XLOOKUP(B22,Sheet2!A:A,Sheet2!D:D,"Missing",0),200)</f>
        <v>80.061478679000004</v>
      </c>
      <c r="F22" s="9" t="s">
        <v>879</v>
      </c>
    </row>
    <row r="23" spans="1:6" x14ac:dyDescent="0.2">
      <c r="A23" s="6" t="s">
        <v>658</v>
      </c>
      <c r="B23" s="8" t="str" cm="1">
        <f t="array" ref="B23">INDEX(_xlfn.TEXTSPLIT(A23,","),1)</f>
        <v>threesome</v>
      </c>
      <c r="C23" s="10">
        <f>IFERROR(_xlfn.XLOOKUP(B23,Sheet2!A:A,Sheet2!B:B,"Missing",0),200)</f>
        <v>3206.3923536099987</v>
      </c>
      <c r="D23" s="9">
        <f>IFERROR(_xlfn.XLOOKUP(B23,Sheet2!A:A,Sheet2!C:C,"Missing",0),200)</f>
        <v>39</v>
      </c>
      <c r="E23" s="9">
        <f>IFERROR(_xlfn.XLOOKUP(B23,Sheet2!A:A,Sheet2!D:D,"Missing",0),200)</f>
        <v>82.215188554102525</v>
      </c>
      <c r="F23" s="9" t="s">
        <v>880</v>
      </c>
    </row>
    <row r="24" spans="1:6" x14ac:dyDescent="0.2">
      <c r="A24" s="6" t="s">
        <v>669</v>
      </c>
      <c r="B24" s="8" t="str" cm="1">
        <f t="array" ref="B24">INDEX(_xlfn.TEXTSPLIT(A24,","),1)</f>
        <v>pov</v>
      </c>
      <c r="C24" s="10">
        <f>IFERROR(_xlfn.XLOOKUP(B24,Sheet2!A:A,Sheet2!B:B,"Missing",0),200)</f>
        <v>2919.3637093099987</v>
      </c>
      <c r="D24" s="9">
        <f>IFERROR(_xlfn.XLOOKUP(B24,Sheet2!A:A,Sheet2!C:C,"Missing",0),200)</f>
        <v>35</v>
      </c>
      <c r="E24" s="9">
        <f>IFERROR(_xlfn.XLOOKUP(B24,Sheet2!A:A,Sheet2!D:D,"Missing",0),200)</f>
        <v>83.410391694571388</v>
      </c>
      <c r="F24" s="9" t="s">
        <v>880</v>
      </c>
    </row>
    <row r="25" spans="1:6" x14ac:dyDescent="0.2">
      <c r="A25" s="6" t="s">
        <v>634</v>
      </c>
      <c r="B25" s="8" t="str" cm="1">
        <f t="array" ref="B25">INDEX(_xlfn.TEXTSPLIT(A25,","),1)</f>
        <v>Handjob</v>
      </c>
      <c r="C25" s="10">
        <f>IFERROR(_xlfn.XLOOKUP(B25,Sheet2!A:A,Sheet2!B:B,"Missing",0),200)</f>
        <v>2073.4560140999993</v>
      </c>
      <c r="D25" s="9">
        <f>IFERROR(_xlfn.XLOOKUP(B25,Sheet2!A:A,Sheet2!C:C,"Missing",0),200)</f>
        <v>24</v>
      </c>
      <c r="E25" s="9">
        <f>IFERROR(_xlfn.XLOOKUP(B25,Sheet2!A:A,Sheet2!D:D,"Missing",0),200)</f>
        <v>86.394000587499974</v>
      </c>
      <c r="F25" s="9" t="s">
        <v>880</v>
      </c>
    </row>
    <row r="26" spans="1:6" x14ac:dyDescent="0.2">
      <c r="A26" s="6" t="s">
        <v>704</v>
      </c>
      <c r="B26" s="8" t="str" cm="1">
        <f t="array" ref="B26">INDEX(_xlfn.TEXTSPLIT(A26,","),1)</f>
        <v>office</v>
      </c>
      <c r="C26" s="10">
        <f>IFERROR(_xlfn.XLOOKUP(B26,Sheet2!A:A,Sheet2!B:B,"Missing",0),200)</f>
        <v>88.352000000000004</v>
      </c>
      <c r="D26" s="9">
        <f>IFERROR(_xlfn.XLOOKUP(B26,Sheet2!A:A,Sheet2!C:C,"Missing",0),200)</f>
        <v>1</v>
      </c>
      <c r="E26" s="9">
        <f>IFERROR(_xlfn.XLOOKUP(B26,Sheet2!A:A,Sheet2!D:D,"Missing",0),200)</f>
        <v>88.352000000000004</v>
      </c>
      <c r="F26" s="9" t="s">
        <v>879</v>
      </c>
    </row>
    <row r="27" spans="1:6" x14ac:dyDescent="0.2">
      <c r="A27" s="6" t="s">
        <v>632</v>
      </c>
      <c r="B27" s="8" t="str" cm="1">
        <f t="array" ref="B27">INDEX(_xlfn.TEXTSPLIT(A27,","),1)</f>
        <v>Fantasy</v>
      </c>
      <c r="C27" s="10">
        <f>IFERROR(_xlfn.XLOOKUP(B27,Sheet2!A:A,Sheet2!B:B,"Missing",0),200)</f>
        <v>266.022999999999</v>
      </c>
      <c r="D27" s="9">
        <f>IFERROR(_xlfn.XLOOKUP(B27,Sheet2!A:A,Sheet2!C:C,"Missing",0),200)</f>
        <v>3</v>
      </c>
      <c r="E27" s="9">
        <f>IFERROR(_xlfn.XLOOKUP(B27,Sheet2!A:A,Sheet2!D:D,"Missing",0),200)</f>
        <v>88.674333333332996</v>
      </c>
      <c r="F27" s="9" t="s">
        <v>879</v>
      </c>
    </row>
    <row r="28" spans="1:6" x14ac:dyDescent="0.2">
      <c r="A28" s="6" t="s">
        <v>645</v>
      </c>
      <c r="B28" s="8" t="str" cm="1">
        <f t="array" ref="B28">INDEX(_xlfn.TEXTSPLIT(A28,","),1)</f>
        <v>AI</v>
      </c>
      <c r="C28" s="10">
        <f>IFERROR(_xlfn.XLOOKUP(B28,Sheet2!A:A,Sheet2!B:B,"Missing",0),200)</f>
        <v>3851.1228477199902</v>
      </c>
      <c r="D28" s="9">
        <f>IFERROR(_xlfn.XLOOKUP(B28,Sheet2!A:A,Sheet2!C:C,"Missing",0),200)</f>
        <v>42</v>
      </c>
      <c r="E28" s="9">
        <f>IFERROR(_xlfn.XLOOKUP(B28,Sheet2!A:A,Sheet2!D:D,"Missing",0),200)</f>
        <v>91.693401136190246</v>
      </c>
      <c r="F28" s="9" t="s">
        <v>880</v>
      </c>
    </row>
    <row r="29" spans="1:6" x14ac:dyDescent="0.2">
      <c r="A29" s="6" t="s">
        <v>694</v>
      </c>
      <c r="B29" s="8" t="str" cm="1">
        <f t="array" ref="B29">INDEX(_xlfn.TEXTSPLIT(A29,","),1)</f>
        <v>casting</v>
      </c>
      <c r="C29" s="10">
        <f>IFERROR(_xlfn.XLOOKUP(B29,Sheet2!A:A,Sheet2!B:B,"Missing",0),200)</f>
        <v>282.47699999999998</v>
      </c>
      <c r="D29" s="9">
        <f>IFERROR(_xlfn.XLOOKUP(B29,Sheet2!A:A,Sheet2!C:C,"Missing",0),200)</f>
        <v>3</v>
      </c>
      <c r="E29" s="9">
        <f>IFERROR(_xlfn.XLOOKUP(B29,Sheet2!A:A,Sheet2!D:D,"Missing",0),200)</f>
        <v>94.158999999999992</v>
      </c>
      <c r="F29" s="9" t="s">
        <v>879</v>
      </c>
    </row>
    <row r="30" spans="1:6" x14ac:dyDescent="0.2">
      <c r="A30" s="6" t="s">
        <v>655</v>
      </c>
      <c r="B30" s="8" t="str" cm="1">
        <f t="array" ref="B30">INDEX(_xlfn.TEXTSPLIT(A30,","),1)</f>
        <v>asian</v>
      </c>
      <c r="C30" s="10">
        <f>IFERROR(_xlfn.XLOOKUP(B30,Sheet2!A:A,Sheet2!B:B,"Missing",0),200)</f>
        <v>190.79900000000001</v>
      </c>
      <c r="D30" s="9">
        <f>IFERROR(_xlfn.XLOOKUP(B30,Sheet2!A:A,Sheet2!C:C,"Missing",0),200)</f>
        <v>2</v>
      </c>
      <c r="E30" s="9">
        <f>IFERROR(_xlfn.XLOOKUP(B30,Sheet2!A:A,Sheet2!D:D,"Missing",0),200)</f>
        <v>95.399500000000003</v>
      </c>
      <c r="F30" s="9" t="s">
        <v>879</v>
      </c>
    </row>
    <row r="31" spans="1:6" x14ac:dyDescent="0.2">
      <c r="A31" s="6" t="s">
        <v>671</v>
      </c>
      <c r="B31" s="8" t="str" cm="1">
        <f t="array" ref="B31">INDEX(_xlfn.TEXTSPLIT(A31,","),1)</f>
        <v>squirt</v>
      </c>
      <c r="C31" s="10">
        <f>IFERROR(_xlfn.XLOOKUP(B31,Sheet2!A:A,Sheet2!B:B,"Missing",0),200)</f>
        <v>4211.8958922899992</v>
      </c>
      <c r="D31" s="9">
        <f>IFERROR(_xlfn.XLOOKUP(B31,Sheet2!A:A,Sheet2!C:C,"Missing",0),200)</f>
        <v>44</v>
      </c>
      <c r="E31" s="9">
        <f>IFERROR(_xlfn.XLOOKUP(B31,Sheet2!A:A,Sheet2!D:D,"Missing",0),200)</f>
        <v>95.724906642954522</v>
      </c>
      <c r="F31" s="9" t="s">
        <v>880</v>
      </c>
    </row>
    <row r="32" spans="1:6" x14ac:dyDescent="0.2">
      <c r="A32" s="6" t="s">
        <v>680</v>
      </c>
      <c r="B32" s="8" t="str" cm="1">
        <f t="array" ref="B32">INDEX(_xlfn.TEXTSPLIT(A32,","),1)</f>
        <v>bdsm</v>
      </c>
      <c r="C32" s="10">
        <f>IFERROR(_xlfn.XLOOKUP(B32,Sheet2!A:A,Sheet2!B:B,"Missing",0),200)</f>
        <v>1065.3882235499989</v>
      </c>
      <c r="D32" s="9">
        <f>IFERROR(_xlfn.XLOOKUP(B32,Sheet2!A:A,Sheet2!C:C,"Missing",0),200)</f>
        <v>11</v>
      </c>
      <c r="E32" s="9">
        <f>IFERROR(_xlfn.XLOOKUP(B32,Sheet2!A:A,Sheet2!D:D,"Missing",0),200)</f>
        <v>96.853474868181721</v>
      </c>
      <c r="F32" s="9" t="s">
        <v>880</v>
      </c>
    </row>
    <row r="33" spans="1:6" x14ac:dyDescent="0.2">
      <c r="A33" s="6" t="s">
        <v>678</v>
      </c>
      <c r="B33" s="8" t="str" cm="1">
        <f t="array" ref="B33">INDEX(_xlfn.TEXTSPLIT(A33,","),1)</f>
        <v>mature</v>
      </c>
      <c r="C33" s="10">
        <f>IFERROR(_xlfn.XLOOKUP(B33,Sheet2!A:A,Sheet2!B:B,"Missing",0),200)</f>
        <v>100.003999999999</v>
      </c>
      <c r="D33" s="9">
        <f>IFERROR(_xlfn.XLOOKUP(B33,Sheet2!A:A,Sheet2!C:C,"Missing",0),200)</f>
        <v>1</v>
      </c>
      <c r="E33" s="9">
        <f>IFERROR(_xlfn.XLOOKUP(B33,Sheet2!A:A,Sheet2!D:D,"Missing",0),200)</f>
        <v>100.003999999999</v>
      </c>
      <c r="F33" s="9">
        <f>IFERROR(_xlfn.XLOOKUP(C33,Sheet2!B:B,Sheet2!E:E,"Missing",0),200)</f>
        <v>0</v>
      </c>
    </row>
    <row r="34" spans="1:6" x14ac:dyDescent="0.2">
      <c r="A34" s="6" t="s">
        <v>768</v>
      </c>
      <c r="B34" s="8" t="str" cm="1">
        <f t="array" ref="B34">INDEX(_xlfn.TEXTSPLIT(A34,","),1)</f>
        <v>clown</v>
      </c>
      <c r="C34" s="10">
        <f>IFERROR(_xlfn.XLOOKUP(B34,Sheet2!A:A,Sheet2!B:B,"Missing",0),200)</f>
        <v>100.02004433</v>
      </c>
      <c r="D34" s="9">
        <f>IFERROR(_xlfn.XLOOKUP(B34,Sheet2!A:A,Sheet2!C:C,"Missing",0),200)</f>
        <v>1</v>
      </c>
      <c r="E34" s="9">
        <f>IFERROR(_xlfn.XLOOKUP(B34,Sheet2!A:A,Sheet2!D:D,"Missing",0),200)</f>
        <v>100.02004433</v>
      </c>
      <c r="F34" s="9" t="s">
        <v>879</v>
      </c>
    </row>
    <row r="35" spans="1:6" x14ac:dyDescent="0.2">
      <c r="A35" s="6" t="s">
        <v>656</v>
      </c>
      <c r="B35" s="8" t="str" cm="1">
        <f t="array" ref="B35">INDEX(_xlfn.TEXTSPLIT(A35,","),1)</f>
        <v>stepmom</v>
      </c>
      <c r="C35" s="10">
        <f>IFERROR(_xlfn.XLOOKUP(B35,Sheet2!A:A,Sheet2!B:B,"Missing",0),200)</f>
        <v>100.021</v>
      </c>
      <c r="D35" s="9">
        <f>IFERROR(_xlfn.XLOOKUP(B35,Sheet2!A:A,Sheet2!C:C,"Missing",0),200)</f>
        <v>1</v>
      </c>
      <c r="E35" s="9">
        <f>IFERROR(_xlfn.XLOOKUP(B35,Sheet2!A:A,Sheet2!D:D,"Missing",0),200)</f>
        <v>100.021</v>
      </c>
      <c r="F35" s="9">
        <f>IFERROR(_xlfn.XLOOKUP(C35,Sheet2!B:B,Sheet2!E:E,"Missing",0),200)</f>
        <v>0</v>
      </c>
    </row>
    <row r="36" spans="1:6" x14ac:dyDescent="0.2">
      <c r="A36" s="6" t="s">
        <v>699</v>
      </c>
      <c r="B36" s="8" t="str" cm="1">
        <f t="array" ref="B36">INDEX(_xlfn.TEXTSPLIT(A36,","),1)</f>
        <v>club</v>
      </c>
      <c r="C36" s="10">
        <f>IFERROR(_xlfn.XLOOKUP(B36,Sheet2!A:A,Sheet2!B:B,"Missing",0),200)</f>
        <v>100.03100000000001</v>
      </c>
      <c r="D36" s="9">
        <f>IFERROR(_xlfn.XLOOKUP(B36,Sheet2!A:A,Sheet2!C:C,"Missing",0),200)</f>
        <v>1</v>
      </c>
      <c r="E36" s="9">
        <f>IFERROR(_xlfn.XLOOKUP(B36,Sheet2!A:A,Sheet2!D:D,"Missing",0),200)</f>
        <v>100.03100000000001</v>
      </c>
      <c r="F36" s="9">
        <f>IFERROR(_xlfn.XLOOKUP(C36,Sheet2!B:B,Sheet2!E:E,"Missing",0),200)</f>
        <v>0</v>
      </c>
    </row>
    <row r="37" spans="1:6" x14ac:dyDescent="0.2">
      <c r="A37" s="6" t="s">
        <v>782</v>
      </c>
      <c r="B37" s="8" t="str" cm="1">
        <f t="array" ref="B37">INDEX(_xlfn.TEXTSPLIT(A37,","),1)</f>
        <v>witch</v>
      </c>
      <c r="C37" s="10">
        <f>IFERROR(_xlfn.XLOOKUP(B37,Sheet2!A:A,Sheet2!B:B,"Missing",0),200)</f>
        <v>100.04882712</v>
      </c>
      <c r="D37" s="9">
        <f>IFERROR(_xlfn.XLOOKUP(B37,Sheet2!A:A,Sheet2!C:C,"Missing",0),200)</f>
        <v>1</v>
      </c>
      <c r="E37" s="9">
        <f>IFERROR(_xlfn.XLOOKUP(B37,Sheet2!A:A,Sheet2!D:D,"Missing",0),200)</f>
        <v>100.04882712</v>
      </c>
      <c r="F37" s="9">
        <f>IFERROR(_xlfn.XLOOKUP(C37,Sheet2!B:B,Sheet2!E:E,"Missing",0),200)</f>
        <v>0</v>
      </c>
    </row>
    <row r="38" spans="1:6" x14ac:dyDescent="0.2">
      <c r="A38" s="6" t="s">
        <v>713</v>
      </c>
      <c r="B38" s="8" t="str" cm="1">
        <f t="array" ref="B38">INDEX(_xlfn.TEXTSPLIT(A38,","),1)</f>
        <v>spanish</v>
      </c>
      <c r="C38" s="10">
        <f>IFERROR(_xlfn.XLOOKUP(B38,Sheet2!A:A,Sheet2!B:B,"Missing",0),200)</f>
        <v>100.054</v>
      </c>
      <c r="D38" s="9">
        <f>IFERROR(_xlfn.XLOOKUP(B38,Sheet2!A:A,Sheet2!C:C,"Missing",0),200)</f>
        <v>1</v>
      </c>
      <c r="E38" s="9">
        <f>IFERROR(_xlfn.XLOOKUP(B38,Sheet2!A:A,Sheet2!D:D,"Missing",0),200)</f>
        <v>100.054</v>
      </c>
      <c r="F38" s="9">
        <f>IFERROR(_xlfn.XLOOKUP(C38,Sheet2!B:B,Sheet2!E:E,"Missing",0),200)</f>
        <v>0</v>
      </c>
    </row>
    <row r="39" spans="1:6" x14ac:dyDescent="0.2">
      <c r="A39" s="6" t="s">
        <v>759</v>
      </c>
      <c r="B39" s="8" t="str" cm="1">
        <f t="array" ref="B39">INDEX(_xlfn.TEXTSPLIT(A39,","),1)</f>
        <v>triple</v>
      </c>
      <c r="C39" s="10">
        <f>IFERROR(_xlfn.XLOOKUP(B39,Sheet2!A:A,Sheet2!B:B,"Missing",0),200)</f>
        <v>100.06014587999999</v>
      </c>
      <c r="D39" s="9">
        <f>IFERROR(_xlfn.XLOOKUP(B39,Sheet2!A:A,Sheet2!C:C,"Missing",0),200)</f>
        <v>1</v>
      </c>
      <c r="E39" s="9">
        <f>IFERROR(_xlfn.XLOOKUP(B39,Sheet2!A:A,Sheet2!D:D,"Missing",0),200)</f>
        <v>100.06014587999999</v>
      </c>
      <c r="F39" s="9">
        <f>IFERROR(_xlfn.XLOOKUP(C39,Sheet2!B:B,Sheet2!E:E,"Missing",0),200)</f>
        <v>0</v>
      </c>
    </row>
    <row r="40" spans="1:6" x14ac:dyDescent="0.2">
      <c r="A40" s="6" t="s">
        <v>742</v>
      </c>
      <c r="B40" s="8" t="str" cm="1">
        <f t="array" ref="B40">INDEX(_xlfn.TEXTSPLIT(A40,","),1)</f>
        <v>milking</v>
      </c>
      <c r="C40" s="10">
        <f>IFERROR(_xlfn.XLOOKUP(B40,Sheet2!A:A,Sheet2!B:B,"Missing",0),200)</f>
        <v>100.07146441</v>
      </c>
      <c r="D40" s="9">
        <f>IFERROR(_xlfn.XLOOKUP(B40,Sheet2!A:A,Sheet2!C:C,"Missing",0),200)</f>
        <v>1</v>
      </c>
      <c r="E40" s="9">
        <f>IFERROR(_xlfn.XLOOKUP(B40,Sheet2!A:A,Sheet2!D:D,"Missing",0),200)</f>
        <v>100.07146441</v>
      </c>
      <c r="F40" s="9">
        <f>IFERROR(_xlfn.XLOOKUP(C40,Sheet2!B:B,Sheet2!E:E,"Missing",0),200)</f>
        <v>0</v>
      </c>
    </row>
    <row r="41" spans="1:6" x14ac:dyDescent="0.2">
      <c r="A41" s="6" t="s">
        <v>727</v>
      </c>
      <c r="B41" s="8" t="str" cm="1">
        <f t="array" ref="B41">INDEX(_xlfn.TEXTSPLIT(A41,","),1)</f>
        <v>machine</v>
      </c>
      <c r="C41" s="10">
        <f>IFERROR(_xlfn.XLOOKUP(B41,Sheet2!A:A,Sheet2!B:B,"Missing",0),200)</f>
        <v>100.07602955999999</v>
      </c>
      <c r="D41" s="9">
        <f>IFERROR(_xlfn.XLOOKUP(B41,Sheet2!A:A,Sheet2!C:C,"Missing",0),200)</f>
        <v>1</v>
      </c>
      <c r="E41" s="9">
        <f>IFERROR(_xlfn.XLOOKUP(B41,Sheet2!A:A,Sheet2!D:D,"Missing",0),200)</f>
        <v>100.07602955999999</v>
      </c>
      <c r="F41" s="9">
        <f>IFERROR(_xlfn.XLOOKUP(C41,Sheet2!B:B,Sheet2!E:E,"Missing",0),200)</f>
        <v>0</v>
      </c>
    </row>
    <row r="42" spans="1:6" x14ac:dyDescent="0.2">
      <c r="A42" s="6" t="s">
        <v>734</v>
      </c>
      <c r="B42" s="8" t="str" cm="1">
        <f t="array" ref="B42">INDEX(_xlfn.TEXTSPLIT(A42,","),1)</f>
        <v>master</v>
      </c>
      <c r="C42" s="10">
        <f>IFERROR(_xlfn.XLOOKUP(B42,Sheet2!A:A,Sheet2!B:B,"Missing",0),200)</f>
        <v>100.08792364999999</v>
      </c>
      <c r="D42" s="9">
        <f>IFERROR(_xlfn.XLOOKUP(B42,Sheet2!A:A,Sheet2!C:C,"Missing",0),200)</f>
        <v>1</v>
      </c>
      <c r="E42" s="9">
        <f>IFERROR(_xlfn.XLOOKUP(B42,Sheet2!A:A,Sheet2!D:D,"Missing",0),200)</f>
        <v>100.08792364999999</v>
      </c>
      <c r="F42" s="9">
        <f>IFERROR(_xlfn.XLOOKUP(C42,Sheet2!B:B,Sheet2!E:E,"Missing",0),200)</f>
        <v>0</v>
      </c>
    </row>
    <row r="43" spans="1:6" x14ac:dyDescent="0.2">
      <c r="A43" s="6" t="s">
        <v>776</v>
      </c>
      <c r="B43" s="8" t="str" cm="1">
        <f t="array" ref="B43">INDEX(_xlfn.TEXTSPLIT(A43,","),1)</f>
        <v>toilet</v>
      </c>
      <c r="C43" s="10">
        <f>IFERROR(_xlfn.XLOOKUP(B43,Sheet2!A:A,Sheet2!B:B,"Missing",0),200)</f>
        <v>100.09982929</v>
      </c>
      <c r="D43" s="9">
        <f>IFERROR(_xlfn.XLOOKUP(B43,Sheet2!A:A,Sheet2!C:C,"Missing",0),200)</f>
        <v>1</v>
      </c>
      <c r="E43" s="9">
        <f>IFERROR(_xlfn.XLOOKUP(B43,Sheet2!A:A,Sheet2!D:D,"Missing",0),200)</f>
        <v>100.09982929</v>
      </c>
      <c r="F43" s="9">
        <f>IFERROR(_xlfn.XLOOKUP(C43,Sheet2!B:B,Sheet2!E:E,"Missing",0),200)</f>
        <v>0</v>
      </c>
    </row>
    <row r="44" spans="1:6" x14ac:dyDescent="0.2">
      <c r="A44" s="6" t="s">
        <v>664</v>
      </c>
      <c r="B44" s="8" t="str" cm="1">
        <f t="array" ref="B44">INDEX(_xlfn.TEXTSPLIT(A44,","),1)</f>
        <v>trans</v>
      </c>
      <c r="C44" s="10">
        <f>IFERROR(_xlfn.XLOOKUP(B44,Sheet2!A:A,Sheet2!B:B,"Missing",0),200)</f>
        <v>100.10299999999999</v>
      </c>
      <c r="D44" s="9">
        <f>IFERROR(_xlfn.XLOOKUP(B44,Sheet2!A:A,Sheet2!C:C,"Missing",0),200)</f>
        <v>1</v>
      </c>
      <c r="E44" s="9">
        <f>IFERROR(_xlfn.XLOOKUP(B44,Sheet2!A:A,Sheet2!D:D,"Missing",0),200)</f>
        <v>100.10299999999999</v>
      </c>
      <c r="F44" s="9">
        <f>IFERROR(_xlfn.XLOOKUP(C44,Sheet2!B:B,Sheet2!E:E,"Missing",0),200)</f>
        <v>0</v>
      </c>
    </row>
    <row r="45" spans="1:6" x14ac:dyDescent="0.2">
      <c r="A45" s="6" t="s">
        <v>732</v>
      </c>
      <c r="B45" s="8" t="str" cm="1">
        <f t="array" ref="B45">INDEX(_xlfn.TEXTSPLIT(A45,","),1)</f>
        <v>rope</v>
      </c>
      <c r="C45" s="10">
        <f>IFERROR(_xlfn.XLOOKUP(B45,Sheet2!A:A,Sheet2!B:B,"Missing",0),200)</f>
        <v>100.504260969999</v>
      </c>
      <c r="D45" s="9">
        <f>IFERROR(_xlfn.XLOOKUP(B45,Sheet2!A:A,Sheet2!C:C,"Missing",0),200)</f>
        <v>1</v>
      </c>
      <c r="E45" s="9">
        <f>IFERROR(_xlfn.XLOOKUP(B45,Sheet2!A:A,Sheet2!D:D,"Missing",0),200)</f>
        <v>100.504260969999</v>
      </c>
      <c r="F45" s="9">
        <f>IFERROR(_xlfn.XLOOKUP(C45,Sheet2!B:B,Sheet2!E:E,"Missing",0),200)</f>
        <v>0</v>
      </c>
    </row>
    <row r="46" spans="1:6" x14ac:dyDescent="0.2">
      <c r="A46" s="6" t="s">
        <v>766</v>
      </c>
      <c r="B46" s="8" t="str" cm="1">
        <f t="array" ref="B46">INDEX(_xlfn.TEXTSPLIT(A46,","),1)</f>
        <v>dental</v>
      </c>
      <c r="C46" s="10">
        <f>IFERROR(_xlfn.XLOOKUP(B46,Sheet2!A:A,Sheet2!B:B,"Missing",0),200)</f>
        <v>1078.41528619</v>
      </c>
      <c r="D46" s="9">
        <f>IFERROR(_xlfn.XLOOKUP(B46,Sheet2!A:A,Sheet2!C:C,"Missing",0),200)</f>
        <v>10</v>
      </c>
      <c r="E46" s="9">
        <f>IFERROR(_xlfn.XLOOKUP(B46,Sheet2!A:A,Sheet2!D:D,"Missing",0),200)</f>
        <v>107.841528619</v>
      </c>
      <c r="F46" s="9">
        <f>IFERROR(_xlfn.XLOOKUP(C46,Sheet2!B:B,Sheet2!E:E,"Missing",0),200)</f>
        <v>0</v>
      </c>
    </row>
    <row r="47" spans="1:6" x14ac:dyDescent="0.2">
      <c r="A47" s="6" t="s">
        <v>686</v>
      </c>
      <c r="B47" s="8" t="str" cm="1">
        <f t="array" ref="B47">INDEX(_xlfn.TEXTSPLIT(A47,","),1)</f>
        <v>stepsister</v>
      </c>
      <c r="C47" s="10">
        <f>IFERROR(_xlfn.XLOOKUP(B47,Sheet2!A:A,Sheet2!B:B,"Missing",0),200)</f>
        <v>1892.5779589999997</v>
      </c>
      <c r="D47" s="9">
        <f>IFERROR(_xlfn.XLOOKUP(B47,Sheet2!A:A,Sheet2!C:C,"Missing",0),200)</f>
        <v>17</v>
      </c>
      <c r="E47" s="9">
        <f>IFERROR(_xlfn.XLOOKUP(B47,Sheet2!A:A,Sheet2!D:D,"Missing",0),200)</f>
        <v>111.32811523529411</v>
      </c>
      <c r="F47" s="9">
        <f>IFERROR(_xlfn.XLOOKUP(C47,Sheet2!B:B,Sheet2!E:E,"Missing",0),200)</f>
        <v>0</v>
      </c>
    </row>
    <row r="48" spans="1:6" x14ac:dyDescent="0.2">
      <c r="A48" s="6" t="s">
        <v>696</v>
      </c>
      <c r="B48" s="8" t="str" cm="1">
        <f t="array" ref="B48">INDEX(_xlfn.TEXTSPLIT(A48,","),1)</f>
        <v>roleplay</v>
      </c>
      <c r="C48" s="10">
        <f>IFERROR(_xlfn.XLOOKUP(B48,Sheet2!A:A,Sheet2!B:B,"Missing",0),200)</f>
        <v>1452.93236058</v>
      </c>
      <c r="D48" s="9">
        <f>IFERROR(_xlfn.XLOOKUP(B48,Sheet2!A:A,Sheet2!C:C,"Missing",0),200)</f>
        <v>13</v>
      </c>
      <c r="E48" s="9">
        <f>IFERROR(_xlfn.XLOOKUP(B48,Sheet2!A:A,Sheet2!D:D,"Missing",0),200)</f>
        <v>111.76402773692308</v>
      </c>
      <c r="F48" s="9">
        <f>IFERROR(_xlfn.XLOOKUP(C48,Sheet2!B:B,Sheet2!E:E,"Missing",0),200)</f>
        <v>0</v>
      </c>
    </row>
    <row r="49" spans="1:6" x14ac:dyDescent="0.2">
      <c r="A49" s="6" t="s">
        <v>748</v>
      </c>
      <c r="B49" s="8" t="str" cm="1">
        <f t="array" ref="B49">INDEX(_xlfn.TEXTSPLIT(A49,","),1)</f>
        <v>edging</v>
      </c>
      <c r="C49" s="10">
        <f>IFERROR(_xlfn.XLOOKUP(B49,Sheet2!A:A,Sheet2!B:B,"Missing",0),200)</f>
        <v>685.67284175999987</v>
      </c>
      <c r="D49" s="9">
        <f>IFERROR(_xlfn.XLOOKUP(B49,Sheet2!A:A,Sheet2!C:C,"Missing",0),200)</f>
        <v>6</v>
      </c>
      <c r="E49" s="9">
        <f>IFERROR(_xlfn.XLOOKUP(B49,Sheet2!A:A,Sheet2!D:D,"Missing",0),200)</f>
        <v>114.27880695999998</v>
      </c>
      <c r="F49" s="9">
        <f>IFERROR(_xlfn.XLOOKUP(C49,Sheet2!B:B,Sheet2!E:E,"Missing",0),200)</f>
        <v>0</v>
      </c>
    </row>
    <row r="50" spans="1:6" x14ac:dyDescent="0.2">
      <c r="A50" s="6" t="s">
        <v>700</v>
      </c>
      <c r="B50" s="8" t="str" cm="1">
        <f t="array" ref="B50">INDEX(_xlfn.TEXTSPLIT(A50,","),1)</f>
        <v>lingerie</v>
      </c>
      <c r="C50" s="10">
        <f>IFERROR(_xlfn.XLOOKUP(B50,Sheet2!A:A,Sheet2!B:B,"Missing",0),200)</f>
        <v>1843.8081321099999</v>
      </c>
      <c r="D50" s="9">
        <f>IFERROR(_xlfn.XLOOKUP(B50,Sheet2!A:A,Sheet2!C:C,"Missing",0),200)</f>
        <v>16</v>
      </c>
      <c r="E50" s="9">
        <f>IFERROR(_xlfn.XLOOKUP(B50,Sheet2!A:A,Sheet2!D:D,"Missing",0),200)</f>
        <v>115.23800825687499</v>
      </c>
      <c r="F50" s="9">
        <f>IFERROR(_xlfn.XLOOKUP(C50,Sheet2!B:B,Sheet2!E:E,"Missing",0),200)</f>
        <v>0</v>
      </c>
    </row>
    <row r="51" spans="1:6" x14ac:dyDescent="0.2">
      <c r="A51" s="6" t="s">
        <v>666</v>
      </c>
      <c r="B51" s="8" t="str" cm="1">
        <f t="array" ref="B51">INDEX(_xlfn.TEXTSPLIT(A51,","),1)</f>
        <v>bbc</v>
      </c>
      <c r="C51" s="10">
        <f>IFERROR(_xlfn.XLOOKUP(B51,Sheet2!A:A,Sheet2!B:B,"Missing",0),200)</f>
        <v>1654.45584409</v>
      </c>
      <c r="D51" s="9">
        <f>IFERROR(_xlfn.XLOOKUP(B51,Sheet2!A:A,Sheet2!C:C,"Missing",0),200)</f>
        <v>14</v>
      </c>
      <c r="E51" s="9">
        <f>IFERROR(_xlfn.XLOOKUP(B51,Sheet2!A:A,Sheet2!D:D,"Missing",0),200)</f>
        <v>118.175417435</v>
      </c>
      <c r="F51" s="9">
        <f>IFERROR(_xlfn.XLOOKUP(C51,Sheet2!B:B,Sheet2!E:E,"Missing",0),200)</f>
        <v>0</v>
      </c>
    </row>
    <row r="52" spans="1:6" x14ac:dyDescent="0.2">
      <c r="A52" s="6" t="s">
        <v>687</v>
      </c>
      <c r="B52" s="8" t="str" cm="1">
        <f t="array" ref="B52">INDEX(_xlfn.TEXTSPLIT(A52,","),1)</f>
        <v>cuckold</v>
      </c>
      <c r="C52" s="10">
        <f>IFERROR(_xlfn.XLOOKUP(B52,Sheet2!A:A,Sheet2!B:B,"Missing",0),200)</f>
        <v>1432.7577618299979</v>
      </c>
      <c r="D52" s="9">
        <f>IFERROR(_xlfn.XLOOKUP(B52,Sheet2!A:A,Sheet2!C:C,"Missing",0),200)</f>
        <v>11</v>
      </c>
      <c r="E52" s="9">
        <f>IFERROR(_xlfn.XLOOKUP(B52,Sheet2!A:A,Sheet2!D:D,"Missing",0),200)</f>
        <v>130.25070562090889</v>
      </c>
      <c r="F52" s="9">
        <f>IFERROR(_xlfn.XLOOKUP(C52,Sheet2!B:B,Sheet2!E:E,"Missing",0),200)</f>
        <v>0</v>
      </c>
    </row>
    <row r="53" spans="1:6" x14ac:dyDescent="0.2">
      <c r="A53" s="6" t="s">
        <v>681</v>
      </c>
      <c r="B53" s="8" t="str" cm="1">
        <f t="array" ref="B53">INDEX(_xlfn.TEXTSPLIT(A53,","),1)</f>
        <v>interracial</v>
      </c>
      <c r="C53" s="10">
        <f>IFERROR(_xlfn.XLOOKUP(B53,Sheet2!A:A,Sheet2!B:B,"Missing",0),200)</f>
        <v>407.82400000000001</v>
      </c>
      <c r="D53" s="9">
        <f>IFERROR(_xlfn.XLOOKUP(B53,Sheet2!A:A,Sheet2!C:C,"Missing",0),200)</f>
        <v>3</v>
      </c>
      <c r="E53" s="9">
        <f>IFERROR(_xlfn.XLOOKUP(B53,Sheet2!A:A,Sheet2!D:D,"Missing",0),200)</f>
        <v>135.94133333333335</v>
      </c>
      <c r="F53" s="9">
        <f>IFERROR(_xlfn.XLOOKUP(C53,Sheet2!B:B,Sheet2!E:E,"Missing",0),200)</f>
        <v>0</v>
      </c>
    </row>
    <row r="54" spans="1:6" x14ac:dyDescent="0.2">
      <c r="A54" s="6" t="s">
        <v>647</v>
      </c>
      <c r="B54" s="8" t="str" cm="1">
        <f t="array" ref="B54">INDEX(_xlfn.TEXTSPLIT(A54,","),1)</f>
        <v>milf</v>
      </c>
      <c r="C54" s="10">
        <f>IFERROR(_xlfn.XLOOKUP(B54,Sheet2!A:A,Sheet2!B:B,"Missing",0),200)</f>
        <v>3594.0263713399981</v>
      </c>
      <c r="D54" s="9">
        <f>IFERROR(_xlfn.XLOOKUP(B54,Sheet2!A:A,Sheet2!C:C,"Missing",0),200)</f>
        <v>26</v>
      </c>
      <c r="E54" s="9">
        <f>IFERROR(_xlfn.XLOOKUP(B54,Sheet2!A:A,Sheet2!D:D,"Missing",0),200)</f>
        <v>138.23178351307686</v>
      </c>
      <c r="F54" s="9">
        <f>IFERROR(_xlfn.XLOOKUP(C54,Sheet2!B:B,Sheet2!E:E,"Missing",0),200)</f>
        <v>0</v>
      </c>
    </row>
    <row r="55" spans="1:6" x14ac:dyDescent="0.2">
      <c r="A55" s="6" t="s">
        <v>754</v>
      </c>
      <c r="B55" s="8" t="str" cm="1">
        <f t="array" ref="B55">INDEX(_xlfn.TEXTSPLIT(A55,","),1)</f>
        <v>belly</v>
      </c>
      <c r="C55" s="10">
        <f>IFERROR(_xlfn.XLOOKUP(B55,Sheet2!A:A,Sheet2!B:B,"Missing",0),200)</f>
        <v>144.10299999999901</v>
      </c>
      <c r="D55" s="9">
        <f>IFERROR(_xlfn.XLOOKUP(B55,Sheet2!A:A,Sheet2!C:C,"Missing",0),200)</f>
        <v>1</v>
      </c>
      <c r="E55" s="9">
        <f>IFERROR(_xlfn.XLOOKUP(B55,Sheet2!A:A,Sheet2!D:D,"Missing",0),200)</f>
        <v>144.10299999999901</v>
      </c>
      <c r="F55" s="9">
        <f>IFERROR(_xlfn.XLOOKUP(C55,Sheet2!B:B,Sheet2!E:E,"Missing",0),200)</f>
        <v>0</v>
      </c>
    </row>
    <row r="56" spans="1:6" x14ac:dyDescent="0.2">
      <c r="A56" s="6" t="s">
        <v>641</v>
      </c>
      <c r="B56" s="8" t="str" cm="1">
        <f t="array" ref="B56">INDEX(_xlfn.TEXTSPLIT(A56,","),1)</f>
        <v>JOI</v>
      </c>
      <c r="C56" s="10">
        <f>IFERROR(_xlfn.XLOOKUP(B56,Sheet2!A:A,Sheet2!B:B,"Missing",0),200)</f>
        <v>145.34100000000001</v>
      </c>
      <c r="D56" s="9">
        <f>IFERROR(_xlfn.XLOOKUP(B56,Sheet2!A:A,Sheet2!C:C,"Missing",0),200)</f>
        <v>1</v>
      </c>
      <c r="E56" s="9">
        <f>IFERROR(_xlfn.XLOOKUP(B56,Sheet2!A:A,Sheet2!D:D,"Missing",0),200)</f>
        <v>145.34100000000001</v>
      </c>
      <c r="F56" s="9" t="s">
        <v>879</v>
      </c>
    </row>
    <row r="57" spans="1:6" x14ac:dyDescent="0.2">
      <c r="A57" s="6" t="s">
        <v>657</v>
      </c>
      <c r="B57" s="8" t="str" cm="1">
        <f t="array" ref="B57">INDEX(_xlfn.TEXTSPLIT(A57,","),1)</f>
        <v>creampie</v>
      </c>
      <c r="C57" s="10">
        <f>IFERROR(_xlfn.XLOOKUP(B57,Sheet2!A:A,Sheet2!B:B,"Missing",0),200)</f>
        <v>3110.9768098099976</v>
      </c>
      <c r="D57" s="9">
        <f>IFERROR(_xlfn.XLOOKUP(B57,Sheet2!A:A,Sheet2!C:C,"Missing",0),200)</f>
        <v>21</v>
      </c>
      <c r="E57" s="9">
        <f>IFERROR(_xlfn.XLOOKUP(B57,Sheet2!A:A,Sheet2!D:D,"Missing",0),200)</f>
        <v>148.14175284809511</v>
      </c>
      <c r="F57" s="9">
        <f>IFERROR(_xlfn.XLOOKUP(C57,Sheet2!B:B,Sheet2!E:E,"Missing",0),200)</f>
        <v>0</v>
      </c>
    </row>
    <row r="58" spans="1:6" x14ac:dyDescent="0.2">
      <c r="A58" s="6" t="s">
        <v>810</v>
      </c>
      <c r="B58" s="8" t="str" cm="1">
        <f t="array" ref="B58">INDEX(_xlfn.TEXTSPLIT(A58,","),1)</f>
        <v>power</v>
      </c>
      <c r="C58" s="10">
        <f>IFERROR(_xlfn.XLOOKUP(B58,Sheet2!A:A,Sheet2!B:B,"Missing",0),200)</f>
        <v>862.38698160999991</v>
      </c>
      <c r="D58" s="9">
        <f>IFERROR(_xlfn.XLOOKUP(B58,Sheet2!A:A,Sheet2!C:C,"Missing",0),200)</f>
        <v>5</v>
      </c>
      <c r="E58" s="9">
        <f>IFERROR(_xlfn.XLOOKUP(B58,Sheet2!A:A,Sheet2!D:D,"Missing",0),200)</f>
        <v>172.47739632199998</v>
      </c>
      <c r="F58" s="9">
        <f>IFERROR(_xlfn.XLOOKUP(C58,Sheet2!B:B,Sheet2!E:E,"Missing",0),200)</f>
        <v>0</v>
      </c>
    </row>
    <row r="59" spans="1:6" x14ac:dyDescent="0.2">
      <c r="A59" s="6" t="s">
        <v>667</v>
      </c>
      <c r="B59" s="8" t="str" cm="1">
        <f t="array" ref="B59">INDEX(_xlfn.TEXTSPLIT(A59,","),1)</f>
        <v>wife</v>
      </c>
      <c r="C59" s="10">
        <f>IFERROR(_xlfn.XLOOKUP(B59,Sheet2!A:A,Sheet2!B:B,"Missing",0),200)</f>
        <v>179.554</v>
      </c>
      <c r="D59" s="9">
        <f>IFERROR(_xlfn.XLOOKUP(B59,Sheet2!A:A,Sheet2!C:C,"Missing",0),200)</f>
        <v>1</v>
      </c>
      <c r="E59" s="9">
        <f>IFERROR(_xlfn.XLOOKUP(B59,Sheet2!A:A,Sheet2!D:D,"Missing",0),200)</f>
        <v>179.554</v>
      </c>
      <c r="F59" s="9">
        <f>IFERROR(_xlfn.XLOOKUP(C59,Sheet2!B:B,Sheet2!E:E,"Missing",0),200)</f>
        <v>0</v>
      </c>
    </row>
    <row r="60" spans="1:6" x14ac:dyDescent="0.2">
      <c r="A60" s="6" t="s">
        <v>755</v>
      </c>
      <c r="B60" s="8" t="str" cm="1">
        <f t="array" ref="B60">INDEX(_xlfn.TEXTSPLIT(A60,","),1)</f>
        <v>hairy</v>
      </c>
      <c r="C60" s="10">
        <f>IFERROR(_xlfn.XLOOKUP(B60,Sheet2!A:A,Sheet2!B:B,"Missing",0),200)</f>
        <v>1991.89664604</v>
      </c>
      <c r="D60" s="9">
        <f>IFERROR(_xlfn.XLOOKUP(B60,Sheet2!A:A,Sheet2!C:C,"Missing",0),200)</f>
        <v>11</v>
      </c>
      <c r="E60" s="9">
        <f>IFERROR(_xlfn.XLOOKUP(B60,Sheet2!A:A,Sheet2!D:D,"Missing",0),200)</f>
        <v>181.08151327636364</v>
      </c>
      <c r="F60" s="9">
        <f>IFERROR(_xlfn.XLOOKUP(C60,Sheet2!B:B,Sheet2!E:E,"Missing",0),200)</f>
        <v>0</v>
      </c>
    </row>
    <row r="61" spans="1:6" x14ac:dyDescent="0.2">
      <c r="A61" s="6" t="s">
        <v>685</v>
      </c>
      <c r="B61" s="8" t="str" cm="1">
        <f t="array" ref="B61">INDEX(_xlfn.TEXTSPLIT(A61,","),1)</f>
        <v>emo</v>
      </c>
      <c r="C61" s="10">
        <f>IFERROR(_xlfn.XLOOKUP(B61,Sheet2!A:A,Sheet2!B:B,"Missing",0),200)</f>
        <v>100.264596349999</v>
      </c>
      <c r="D61" s="9">
        <f>IFERROR(_xlfn.XLOOKUP(B61,Sheet2!A:A,Sheet2!C:C,"Missing",0),200)</f>
        <v>0</v>
      </c>
      <c r="E61" s="9">
        <f>IFERROR(_xlfn.XLOOKUP(B61,Sheet2!A:A,Sheet2!D:D,"Missing",0),200)</f>
        <v>200</v>
      </c>
      <c r="F61" s="9">
        <f>IFERROR(_xlfn.XLOOKUP(C61,Sheet2!B:B,Sheet2!E:E,"Missing",0),200)</f>
        <v>0</v>
      </c>
    </row>
    <row r="62" spans="1:6" x14ac:dyDescent="0.2">
      <c r="A62" s="6" t="s">
        <v>781</v>
      </c>
      <c r="B62" s="8" t="str" cm="1">
        <f t="array" ref="B62">INDEX(_xlfn.TEXTSPLIT(A62,","),1)</f>
        <v>alien</v>
      </c>
      <c r="C62" s="10">
        <f>IFERROR(_xlfn.XLOOKUP(B62,Sheet2!A:A,Sheet2!B:B,"Missing",0),200)</f>
        <v>100.11518101</v>
      </c>
      <c r="D62" s="9">
        <f>IFERROR(_xlfn.XLOOKUP(B62,Sheet2!A:A,Sheet2!C:C,"Missing",0),200)</f>
        <v>0</v>
      </c>
      <c r="E62" s="9">
        <f>IFERROR(_xlfn.XLOOKUP(B62,Sheet2!A:A,Sheet2!D:D,"Missing",0),200)</f>
        <v>200</v>
      </c>
      <c r="F62" s="9">
        <f>IFERROR(_xlfn.XLOOKUP(C62,Sheet2!B:B,Sheet2!E:E,"Missing",0),200)</f>
        <v>0</v>
      </c>
    </row>
    <row r="63" spans="1:6" x14ac:dyDescent="0.2">
      <c r="A63" s="6" t="s">
        <v>773</v>
      </c>
      <c r="B63" s="8" t="str" cm="1">
        <f t="array" ref="B63">INDEX(_xlfn.TEXTSPLIT(A63,","),1)</f>
        <v>doll</v>
      </c>
      <c r="C63" s="10">
        <f>IFERROR(_xlfn.XLOOKUP(B63,Sheet2!A:A,Sheet2!B:B,"Missing",0),200)</f>
        <v>100.10045445999999</v>
      </c>
      <c r="D63" s="9">
        <f>IFERROR(_xlfn.XLOOKUP(B63,Sheet2!A:A,Sheet2!C:C,"Missing",0),200)</f>
        <v>0</v>
      </c>
      <c r="E63" s="9">
        <f>IFERROR(_xlfn.XLOOKUP(B63,Sheet2!A:A,Sheet2!D:D,"Missing",0),200)</f>
        <v>200</v>
      </c>
      <c r="F63" s="9">
        <f>IFERROR(_xlfn.XLOOKUP(C63,Sheet2!B:B,Sheet2!E:E,"Missing",0),200)</f>
        <v>0</v>
      </c>
    </row>
    <row r="64" spans="1:6" x14ac:dyDescent="0.2">
      <c r="A64" s="6" t="s">
        <v>648</v>
      </c>
      <c r="B64" s="8" t="str" cm="1">
        <f t="array" ref="B64">INDEX(_xlfn.TEXTSPLIT(A64,","),1)</f>
        <v>pinay</v>
      </c>
      <c r="C64" s="10">
        <f>IFERROR(_xlfn.XLOOKUP(B64,Sheet2!A:A,Sheet2!B:B,"Missing",0),200)</f>
        <v>100.05952619</v>
      </c>
      <c r="D64" s="9">
        <f>IFERROR(_xlfn.XLOOKUP(B64,Sheet2!A:A,Sheet2!C:C,"Missing",0),200)</f>
        <v>0</v>
      </c>
      <c r="E64" s="9">
        <f>IFERROR(_xlfn.XLOOKUP(B64,Sheet2!A:A,Sheet2!D:D,"Missing",0),200)</f>
        <v>200</v>
      </c>
      <c r="F64" s="9">
        <f>IFERROR(_xlfn.XLOOKUP(C64,Sheet2!B:B,Sheet2!E:E,"Missing",0),200)</f>
        <v>0</v>
      </c>
    </row>
    <row r="65" spans="1:6" x14ac:dyDescent="0.2">
      <c r="A65" s="6" t="s">
        <v>747</v>
      </c>
      <c r="B65" s="8" t="str" cm="1">
        <f t="array" ref="B65">INDEX(_xlfn.TEXTSPLIT(A65,","),1)</f>
        <v>maledom</v>
      </c>
      <c r="C65" s="10">
        <f>IFERROR(_xlfn.XLOOKUP(B65,Sheet2!A:A,Sheet2!B:B,"Missing",0),200)</f>
        <v>100.05592935</v>
      </c>
      <c r="D65" s="9">
        <f>IFERROR(_xlfn.XLOOKUP(B65,Sheet2!A:A,Sheet2!C:C,"Missing",0),200)</f>
        <v>0</v>
      </c>
      <c r="E65" s="9">
        <f>IFERROR(_xlfn.XLOOKUP(B65,Sheet2!A:A,Sheet2!D:D,"Missing",0),200)</f>
        <v>200</v>
      </c>
      <c r="F65" s="9">
        <f>IFERROR(_xlfn.XLOOKUP(C65,Sheet2!B:B,Sheet2!E:E,"Missing",0),200)</f>
        <v>0</v>
      </c>
    </row>
    <row r="66" spans="1:6" x14ac:dyDescent="0.2">
      <c r="A66" s="6" t="s">
        <v>711</v>
      </c>
      <c r="B66" s="8" t="str" cm="1">
        <f t="array" ref="B66">INDEX(_xlfn.TEXTSPLIT(A66,","),1)</f>
        <v>french</v>
      </c>
      <c r="C66" s="10">
        <f>IFERROR(_xlfn.XLOOKUP(B66,Sheet2!A:A,Sheet2!B:B,"Missing",0),200)</f>
        <v>100.05453577</v>
      </c>
      <c r="D66" s="9">
        <f>IFERROR(_xlfn.XLOOKUP(B66,Sheet2!A:A,Sheet2!C:C,"Missing",0),200)</f>
        <v>0</v>
      </c>
      <c r="E66" s="9">
        <f>IFERROR(_xlfn.XLOOKUP(B66,Sheet2!A:A,Sheet2!D:D,"Missing",0),200)</f>
        <v>200</v>
      </c>
      <c r="F66" s="9">
        <f>IFERROR(_xlfn.XLOOKUP(C66,Sheet2!B:B,Sheet2!E:E,"Missing",0),200)</f>
        <v>0</v>
      </c>
    </row>
    <row r="67" spans="1:6" x14ac:dyDescent="0.2">
      <c r="A67" s="6" t="s">
        <v>712</v>
      </c>
      <c r="B67" s="8" t="str" cm="1">
        <f t="array" ref="B67">INDEX(_xlfn.TEXTSPLIT(A67,","),1)</f>
        <v>italian</v>
      </c>
      <c r="C67" s="10">
        <f>IFERROR(_xlfn.XLOOKUP(B67,Sheet2!A:A,Sheet2!B:B,"Missing",0),200)</f>
        <v>100.0493591</v>
      </c>
      <c r="D67" s="9">
        <f>IFERROR(_xlfn.XLOOKUP(B67,Sheet2!A:A,Sheet2!C:C,"Missing",0),200)</f>
        <v>0</v>
      </c>
      <c r="E67" s="9">
        <f>IFERROR(_xlfn.XLOOKUP(B67,Sheet2!A:A,Sheet2!D:D,"Missing",0),200)</f>
        <v>200</v>
      </c>
      <c r="F67" s="9">
        <f>IFERROR(_xlfn.XLOOKUP(C67,Sheet2!B:B,Sheet2!E:E,"Missing",0),200)</f>
        <v>0</v>
      </c>
    </row>
    <row r="68" spans="1:6" x14ac:dyDescent="0.2">
      <c r="A68" s="6" t="s">
        <v>765</v>
      </c>
      <c r="B68" s="8" t="str" cm="1">
        <f t="array" ref="B68">INDEX(_xlfn.TEXTSPLIT(A68,","),1)</f>
        <v>medical</v>
      </c>
      <c r="C68" s="10">
        <f>IFERROR(_xlfn.XLOOKUP(B68,Sheet2!A:A,Sheet2!B:B,"Missing",0),200)</f>
        <v>100.04607867</v>
      </c>
      <c r="D68" s="9">
        <f>IFERROR(_xlfn.XLOOKUP(B68,Sheet2!A:A,Sheet2!C:C,"Missing",0),200)</f>
        <v>0</v>
      </c>
      <c r="E68" s="9">
        <f>IFERROR(_xlfn.XLOOKUP(B68,Sheet2!A:A,Sheet2!D:D,"Missing",0),200)</f>
        <v>200</v>
      </c>
      <c r="F68" s="9">
        <f>IFERROR(_xlfn.XLOOKUP(C68,Sheet2!B:B,Sheet2!E:E,"Missing",0),200)</f>
        <v>0</v>
      </c>
    </row>
    <row r="69" spans="1:6" x14ac:dyDescent="0.2">
      <c r="A69" s="6" t="s">
        <v>665</v>
      </c>
      <c r="B69" s="8" t="str" cm="1">
        <f t="array" ref="B69">INDEX(_xlfn.TEXTSPLIT(A69,","),1)</f>
        <v>gangbang</v>
      </c>
      <c r="C69" s="10">
        <f>IFERROR(_xlfn.XLOOKUP(B69,Sheet2!A:A,Sheet2!B:B,"Missing",0),200)</f>
        <v>100.044</v>
      </c>
      <c r="D69" s="9">
        <f>IFERROR(_xlfn.XLOOKUP(B69,Sheet2!A:A,Sheet2!C:C,"Missing",0),200)</f>
        <v>0</v>
      </c>
      <c r="E69" s="9">
        <f>IFERROR(_xlfn.XLOOKUP(B69,Sheet2!A:A,Sheet2!D:D,"Missing",0),200)</f>
        <v>200</v>
      </c>
      <c r="F69" s="9">
        <f>IFERROR(_xlfn.XLOOKUP(C69,Sheet2!B:B,Sheet2!E:E,"Missing",0),200)</f>
        <v>0</v>
      </c>
    </row>
    <row r="70" spans="1:6" x14ac:dyDescent="0.2">
      <c r="A70" s="6" t="s">
        <v>701</v>
      </c>
      <c r="B70" s="8" t="str" cm="1">
        <f t="array" ref="B70">INDEX(_xlfn.TEXTSPLIT(A70,","),1)</f>
        <v>pantyhose</v>
      </c>
      <c r="C70" s="10">
        <f>IFERROR(_xlfn.XLOOKUP(B70,Sheet2!A:A,Sheet2!B:B,"Missing",0),200)</f>
        <v>100.04049028</v>
      </c>
      <c r="D70" s="9">
        <f>IFERROR(_xlfn.XLOOKUP(B70,Sheet2!A:A,Sheet2!C:C,"Missing",0),200)</f>
        <v>0</v>
      </c>
      <c r="E70" s="9">
        <f>IFERROR(_xlfn.XLOOKUP(B70,Sheet2!A:A,Sheet2!D:D,"Missing",0),200)</f>
        <v>200</v>
      </c>
      <c r="F70" s="9">
        <f>IFERROR(_xlfn.XLOOKUP(C70,Sheet2!B:B,Sheet2!E:E,"Missing",0),200)</f>
        <v>0</v>
      </c>
    </row>
    <row r="71" spans="1:6" x14ac:dyDescent="0.2">
      <c r="A71" s="6" t="s">
        <v>757</v>
      </c>
      <c r="B71" s="8" t="str" cm="1">
        <f t="array" ref="B71">INDEX(_xlfn.TEXTSPLIT(A71,","),1)</f>
        <v>whipping</v>
      </c>
      <c r="C71" s="10">
        <f>IFERROR(_xlfn.XLOOKUP(B71,Sheet2!A:A,Sheet2!B:B,"Missing",0),200)</f>
        <v>100.03155037000001</v>
      </c>
      <c r="D71" s="9">
        <f>IFERROR(_xlfn.XLOOKUP(B71,Sheet2!A:A,Sheet2!C:C,"Missing",0),200)</f>
        <v>0</v>
      </c>
      <c r="E71" s="9">
        <f>IFERROR(_xlfn.XLOOKUP(B71,Sheet2!A:A,Sheet2!D:D,"Missing",0),200)</f>
        <v>200</v>
      </c>
      <c r="F71" s="9">
        <f>IFERROR(_xlfn.XLOOKUP(C71,Sheet2!B:B,Sheet2!E:E,"Missing",0),200)</f>
        <v>0</v>
      </c>
    </row>
    <row r="72" spans="1:6" x14ac:dyDescent="0.2">
      <c r="A72" s="6" t="s">
        <v>799</v>
      </c>
      <c r="B72" s="8" t="str" cm="1">
        <f t="array" ref="B72">INDEX(_xlfn.TEXTSPLIT(A72,","),1)</f>
        <v>nami</v>
      </c>
      <c r="C72" s="10">
        <f>IFERROR(_xlfn.XLOOKUP(B72,Sheet2!A:A,Sheet2!B:B,"Missing",0),200)</f>
        <v>100.03080378</v>
      </c>
      <c r="D72" s="9">
        <f>IFERROR(_xlfn.XLOOKUP(B72,Sheet2!A:A,Sheet2!C:C,"Missing",0),200)</f>
        <v>0</v>
      </c>
      <c r="E72" s="9">
        <f>IFERROR(_xlfn.XLOOKUP(B72,Sheet2!A:A,Sheet2!D:D,"Missing",0),200)</f>
        <v>200</v>
      </c>
      <c r="F72" s="9" t="s">
        <v>879</v>
      </c>
    </row>
    <row r="73" spans="1:6" x14ac:dyDescent="0.2">
      <c r="A73" s="6" t="s">
        <v>749</v>
      </c>
      <c r="B73" s="8" t="str" cm="1">
        <f t="array" ref="B73">INDEX(_xlfn.TEXTSPLIT(A73,","),1)</f>
        <v>denial</v>
      </c>
      <c r="C73" s="10">
        <f>IFERROR(_xlfn.XLOOKUP(B73,Sheet2!A:A,Sheet2!B:B,"Missing",0),200)</f>
        <v>100.024241629999</v>
      </c>
      <c r="D73" s="9">
        <f>IFERROR(_xlfn.XLOOKUP(B73,Sheet2!A:A,Sheet2!C:C,"Missing",0),200)</f>
        <v>0</v>
      </c>
      <c r="E73" s="9">
        <f>IFERROR(_xlfn.XLOOKUP(B73,Sheet2!A:A,Sheet2!D:D,"Missing",0),200)</f>
        <v>200</v>
      </c>
      <c r="F73" s="9">
        <f>IFERROR(_xlfn.XLOOKUP(C73,Sheet2!B:B,Sheet2!E:E,"Missing",0),200)</f>
        <v>0</v>
      </c>
    </row>
    <row r="74" spans="1:6" x14ac:dyDescent="0.2">
      <c r="A74" s="6" t="s">
        <v>676</v>
      </c>
      <c r="B74" s="8" t="str" cm="1">
        <f t="array" ref="B74">INDEX(_xlfn.TEXTSPLIT(A74,","),1)</f>
        <v>redhead</v>
      </c>
      <c r="C74" s="10">
        <f>IFERROR(_xlfn.XLOOKUP(B74,Sheet2!A:A,Sheet2!B:B,"Missing",0),200)</f>
        <v>100.017</v>
      </c>
      <c r="D74" s="9">
        <f>IFERROR(_xlfn.XLOOKUP(B74,Sheet2!A:A,Sheet2!C:C,"Missing",0),200)</f>
        <v>0</v>
      </c>
      <c r="E74" s="9">
        <f>IFERROR(_xlfn.XLOOKUP(B74,Sheet2!A:A,Sheet2!D:D,"Missing",0),200)</f>
        <v>200</v>
      </c>
      <c r="F74" s="9">
        <f>IFERROR(_xlfn.XLOOKUP(C74,Sheet2!B:B,Sheet2!E:E,"Missing",0),200)</f>
        <v>0</v>
      </c>
    </row>
    <row r="75" spans="1:6" x14ac:dyDescent="0.2">
      <c r="A75" s="6" t="s">
        <v>831</v>
      </c>
      <c r="B75" s="8" t="str" cm="1">
        <f t="array" ref="B75">INDEX(_xlfn.TEXTSPLIT(A75,","),1)</f>
        <v>link</v>
      </c>
      <c r="C75" s="10">
        <f>IFERROR(_xlfn.XLOOKUP(B75,Sheet2!A:A,Sheet2!B:B,"Missing",0),200)</f>
        <v>100.01654474999999</v>
      </c>
      <c r="D75" s="9">
        <f>IFERROR(_xlfn.XLOOKUP(B75,Sheet2!A:A,Sheet2!C:C,"Missing",0),200)</f>
        <v>0</v>
      </c>
      <c r="E75" s="9">
        <f>IFERROR(_xlfn.XLOOKUP(B75,Sheet2!A:A,Sheet2!D:D,"Missing",0),200)</f>
        <v>200</v>
      </c>
      <c r="F75" s="9">
        <f>IFERROR(_xlfn.XLOOKUP(C75,Sheet2!B:B,Sheet2!E:E,"Missing",0),200)</f>
        <v>0</v>
      </c>
    </row>
    <row r="76" spans="1:6" x14ac:dyDescent="0.2">
      <c r="A76" s="6" t="s">
        <v>702</v>
      </c>
      <c r="B76" s="8" t="str" cm="1">
        <f t="array" ref="B76">INDEX(_xlfn.TEXTSPLIT(A76,","),1)</f>
        <v>tattoo</v>
      </c>
      <c r="C76" s="10">
        <f>IFERROR(_xlfn.XLOOKUP(B76,Sheet2!A:A,Sheet2!B:B,"Missing",0),200)</f>
        <v>100.015</v>
      </c>
      <c r="D76" s="9">
        <f>IFERROR(_xlfn.XLOOKUP(B76,Sheet2!A:A,Sheet2!C:C,"Missing",0),200)</f>
        <v>0</v>
      </c>
      <c r="E76" s="9">
        <f>IFERROR(_xlfn.XLOOKUP(B76,Sheet2!A:A,Sheet2!D:D,"Missing",0),200)</f>
        <v>200</v>
      </c>
      <c r="F76" s="9">
        <f>IFERROR(_xlfn.XLOOKUP(C76,Sheet2!B:B,Sheet2!E:E,"Missing",0),200)</f>
        <v>0</v>
      </c>
    </row>
    <row r="77" spans="1:6" x14ac:dyDescent="0.2">
      <c r="A77" s="6" t="s">
        <v>679</v>
      </c>
      <c r="B77" s="8" t="str" cm="1">
        <f t="array" ref="B77">INDEX(_xlfn.TEXTSPLIT(A77,","),1)</f>
        <v>fetish</v>
      </c>
      <c r="C77" s="10">
        <f>IFERROR(_xlfn.XLOOKUP(B77,Sheet2!A:A,Sheet2!B:B,"Missing",0),200)</f>
        <v>100.012999999999</v>
      </c>
      <c r="D77" s="9">
        <f>IFERROR(_xlfn.XLOOKUP(B77,Sheet2!A:A,Sheet2!C:C,"Missing",0),200)</f>
        <v>0</v>
      </c>
      <c r="E77" s="9">
        <f>IFERROR(_xlfn.XLOOKUP(B77,Sheet2!A:A,Sheet2!D:D,"Missing",0),200)</f>
        <v>200</v>
      </c>
      <c r="F77" s="9">
        <f>IFERROR(_xlfn.XLOOKUP(C77,Sheet2!B:B,Sheet2!E:E,"Missing",0),200)</f>
        <v>0</v>
      </c>
    </row>
    <row r="78" spans="1:6" x14ac:dyDescent="0.2">
      <c r="A78" s="6" t="s">
        <v>708</v>
      </c>
      <c r="B78" s="8" t="str" cm="1">
        <f t="array" ref="B78">INDEX(_xlfn.TEXTSPLIT(A78,","),1)</f>
        <v>thailand</v>
      </c>
      <c r="C78" s="10">
        <f>IFERROR(_xlfn.XLOOKUP(B78,Sheet2!A:A,Sheet2!B:B,"Missing",0),200)</f>
        <v>100.01252502</v>
      </c>
      <c r="D78" s="9">
        <f>IFERROR(_xlfn.XLOOKUP(B78,Sheet2!A:A,Sheet2!C:C,"Missing",0),200)</f>
        <v>0</v>
      </c>
      <c r="E78" s="9">
        <f>IFERROR(_xlfn.XLOOKUP(B78,Sheet2!A:A,Sheet2!D:D,"Missing",0),200)</f>
        <v>200</v>
      </c>
      <c r="F78" s="9">
        <f>IFERROR(_xlfn.XLOOKUP(C78,Sheet2!B:B,Sheet2!E:E,"Missing",0),200)</f>
        <v>0</v>
      </c>
    </row>
    <row r="79" spans="1:6" x14ac:dyDescent="0.2">
      <c r="A79" s="6" t="s">
        <v>811</v>
      </c>
      <c r="B79" s="8" t="str" cm="1">
        <f t="array" ref="B79">INDEX(_xlfn.TEXTSPLIT(A79,","),1)</f>
        <v>bleach</v>
      </c>
      <c r="C79" s="10">
        <f>IFERROR(_xlfn.XLOOKUP(B79,Sheet2!A:A,Sheet2!B:B,"Missing",0),200)</f>
        <v>100.01102435</v>
      </c>
      <c r="D79" s="9">
        <f>IFERROR(_xlfn.XLOOKUP(B79,Sheet2!A:A,Sheet2!C:C,"Missing",0),200)</f>
        <v>0</v>
      </c>
      <c r="E79" s="9">
        <f>IFERROR(_xlfn.XLOOKUP(B79,Sheet2!A:A,Sheet2!D:D,"Missing",0),200)</f>
        <v>200</v>
      </c>
      <c r="F79" s="9">
        <f>IFERROR(_xlfn.XLOOKUP(C79,Sheet2!B:B,Sheet2!E:E,"Missing",0),200)</f>
        <v>0</v>
      </c>
    </row>
    <row r="80" spans="1:6" x14ac:dyDescent="0.2">
      <c r="A80" s="6" t="s">
        <v>760</v>
      </c>
      <c r="B80" s="8" t="str" cm="1">
        <f t="array" ref="B80">INDEX(_xlfn.TEXTSPLIT(A80,","),1)</f>
        <v>dp</v>
      </c>
      <c r="C80" s="10">
        <f>IFERROR(_xlfn.XLOOKUP(B80,Sheet2!A:A,Sheet2!B:B,"Missing",0),200)</f>
        <v>100.011</v>
      </c>
      <c r="D80" s="9">
        <f>IFERROR(_xlfn.XLOOKUP(B80,Sheet2!A:A,Sheet2!C:C,"Missing",0),200)</f>
        <v>0</v>
      </c>
      <c r="E80" s="9">
        <f>IFERROR(_xlfn.XLOOKUP(B80,Sheet2!A:A,Sheet2!D:D,"Missing",0),200)</f>
        <v>200</v>
      </c>
      <c r="F80" s="9">
        <f>IFERROR(_xlfn.XLOOKUP(C80,Sheet2!B:B,Sheet2!E:E,"Missing",0),200)</f>
        <v>0</v>
      </c>
    </row>
    <row r="81" spans="1:6" x14ac:dyDescent="0.2">
      <c r="A81" s="6" t="s">
        <v>762</v>
      </c>
      <c r="B81" s="8" t="str" cm="1">
        <f t="array" ref="B81">INDEX(_xlfn.TEXTSPLIT(A81,","),1)</f>
        <v>enema</v>
      </c>
      <c r="C81" s="10">
        <f>IFERROR(_xlfn.XLOOKUP(B81,Sheet2!A:A,Sheet2!B:B,"Missing",0),200)</f>
        <v>100.009288689999</v>
      </c>
      <c r="D81" s="9">
        <f>IFERROR(_xlfn.XLOOKUP(B81,Sheet2!A:A,Sheet2!C:C,"Missing",0),200)</f>
        <v>0</v>
      </c>
      <c r="E81" s="9">
        <f>IFERROR(_xlfn.XLOOKUP(B81,Sheet2!A:A,Sheet2!D:D,"Missing",0),200)</f>
        <v>200</v>
      </c>
      <c r="F81" s="9">
        <f>IFERROR(_xlfn.XLOOKUP(C81,Sheet2!B:B,Sheet2!E:E,"Missing",0),200)</f>
        <v>0</v>
      </c>
    </row>
    <row r="82" spans="1:6" x14ac:dyDescent="0.2">
      <c r="A82" s="6" t="s">
        <v>731</v>
      </c>
      <c r="B82" s="8" t="str" cm="1">
        <f t="array" ref="B82">INDEX(_xlfn.TEXTSPLIT(A82,","),1)</f>
        <v>bondage</v>
      </c>
      <c r="C82" s="10">
        <f>IFERROR(_xlfn.XLOOKUP(B82,Sheet2!A:A,Sheet2!B:B,"Missing",0),200)</f>
        <v>100.009</v>
      </c>
      <c r="D82" s="9">
        <f>IFERROR(_xlfn.XLOOKUP(B82,Sheet2!A:A,Sheet2!C:C,"Missing",0),200)</f>
        <v>0</v>
      </c>
      <c r="E82" s="9">
        <f>IFERROR(_xlfn.XLOOKUP(B82,Sheet2!A:A,Sheet2!D:D,"Missing",0),200)</f>
        <v>200</v>
      </c>
      <c r="F82" s="9">
        <f>IFERROR(_xlfn.XLOOKUP(C82,Sheet2!B:B,Sheet2!E:E,"Missing",0),200)</f>
        <v>0</v>
      </c>
    </row>
    <row r="83" spans="1:6" x14ac:dyDescent="0.2">
      <c r="A83" s="6" t="s">
        <v>761</v>
      </c>
      <c r="B83" s="8" t="str" cm="1">
        <f t="array" ref="B83">INDEX(_xlfn.TEXTSPLIT(A83,","),1)</f>
        <v>da</v>
      </c>
      <c r="C83" s="10">
        <f>IFERROR(_xlfn.XLOOKUP(B83,Sheet2!A:A,Sheet2!B:B,"Missing",0),200)</f>
        <v>100.009</v>
      </c>
      <c r="D83" s="9">
        <f>IFERROR(_xlfn.XLOOKUP(B83,Sheet2!A:A,Sheet2!C:C,"Missing",0),200)</f>
        <v>0</v>
      </c>
      <c r="E83" s="9">
        <f>IFERROR(_xlfn.XLOOKUP(B83,Sheet2!A:A,Sheet2!D:D,"Missing",0),200)</f>
        <v>200</v>
      </c>
      <c r="F83" s="9">
        <f>IFERROR(_xlfn.XLOOKUP(C83,Sheet2!B:B,Sheet2!E:E,"Missing",0),200)</f>
        <v>0</v>
      </c>
    </row>
    <row r="84" spans="1:6" x14ac:dyDescent="0.2">
      <c r="A84" s="6" t="s">
        <v>683</v>
      </c>
      <c r="B84" s="8" t="str" cm="1">
        <f t="array" ref="B84">INDEX(_xlfn.TEXTSPLIT(A84,","),1)</f>
        <v>thick</v>
      </c>
      <c r="C84" s="10">
        <f>IFERROR(_xlfn.XLOOKUP(B84,Sheet2!A:A,Sheet2!B:B,"Missing",0),200)</f>
        <v>100.008</v>
      </c>
      <c r="D84" s="9">
        <f>IFERROR(_xlfn.XLOOKUP(B84,Sheet2!A:A,Sheet2!C:C,"Missing",0),200)</f>
        <v>0</v>
      </c>
      <c r="E84" s="9">
        <f>IFERROR(_xlfn.XLOOKUP(B84,Sheet2!A:A,Sheet2!D:D,"Missing",0),200)</f>
        <v>200</v>
      </c>
      <c r="F84" s="9">
        <f>IFERROR(_xlfn.XLOOKUP(C84,Sheet2!B:B,Sheet2!E:E,"Missing",0),200)</f>
        <v>0</v>
      </c>
    </row>
    <row r="85" spans="1:6" x14ac:dyDescent="0.2">
      <c r="A85" s="6" t="s">
        <v>836</v>
      </c>
      <c r="B85" s="8" t="str" cm="1">
        <f t="array" ref="B85">INDEX(_xlfn.TEXTSPLIT(A85,","),1)</f>
        <v>saber</v>
      </c>
      <c r="C85" s="10">
        <f>IFERROR(_xlfn.XLOOKUP(B85,Sheet2!A:A,Sheet2!B:B,"Missing",0),200)</f>
        <v>100.00603776</v>
      </c>
      <c r="D85" s="9">
        <f>IFERROR(_xlfn.XLOOKUP(B85,Sheet2!A:A,Sheet2!C:C,"Missing",0),200)</f>
        <v>0</v>
      </c>
      <c r="E85" s="9">
        <f>IFERROR(_xlfn.XLOOKUP(B85,Sheet2!A:A,Sheet2!D:D,"Missing",0),200)</f>
        <v>200</v>
      </c>
      <c r="F85" s="9">
        <f>IFERROR(_xlfn.XLOOKUP(C85,Sheet2!B:B,Sheet2!E:E,"Missing",0),200)</f>
        <v>0</v>
      </c>
    </row>
    <row r="86" spans="1:6" x14ac:dyDescent="0.2">
      <c r="A86" s="6" t="s">
        <v>661</v>
      </c>
      <c r="B86" s="8" t="str" cm="1">
        <f t="array" ref="B86">INDEX(_xlfn.TEXTSPLIT(A86,","),1)</f>
        <v>massage</v>
      </c>
      <c r="C86" s="10">
        <f>IFERROR(_xlfn.XLOOKUP(B86,Sheet2!A:A,Sheet2!B:B,"Missing",0),200)</f>
        <v>100.006</v>
      </c>
      <c r="D86" s="9">
        <f>IFERROR(_xlfn.XLOOKUP(B86,Sheet2!A:A,Sheet2!C:C,"Missing",0),200)</f>
        <v>0</v>
      </c>
      <c r="E86" s="9">
        <f>IFERROR(_xlfn.XLOOKUP(B86,Sheet2!A:A,Sheet2!D:D,"Missing",0),200)</f>
        <v>200</v>
      </c>
      <c r="F86" s="9">
        <f>IFERROR(_xlfn.XLOOKUP(C86,Sheet2!B:B,Sheet2!E:E,"Missing",0),200)</f>
        <v>0</v>
      </c>
    </row>
    <row r="87" spans="1:6" x14ac:dyDescent="0.2">
      <c r="A87" s="6" t="s">
        <v>722</v>
      </c>
      <c r="B87" s="8" t="str" cm="1">
        <f t="array" ref="B87">INDEX(_xlfn.TEXTSPLIT(A87,","),1)</f>
        <v>spanking</v>
      </c>
      <c r="C87" s="10">
        <f>IFERROR(_xlfn.XLOOKUP(B87,Sheet2!A:A,Sheet2!B:B,"Missing",0),200)</f>
        <v>100.005</v>
      </c>
      <c r="D87" s="9">
        <f>IFERROR(_xlfn.XLOOKUP(B87,Sheet2!A:A,Sheet2!C:C,"Missing",0),200)</f>
        <v>0</v>
      </c>
      <c r="E87" s="9">
        <f>IFERROR(_xlfn.XLOOKUP(B87,Sheet2!A:A,Sheet2!D:D,"Missing",0),200)</f>
        <v>200</v>
      </c>
      <c r="F87" s="9">
        <f>IFERROR(_xlfn.XLOOKUP(C87,Sheet2!B:B,Sheet2!E:E,"Missing",0),200)</f>
        <v>0</v>
      </c>
    </row>
    <row r="88" spans="1:6" x14ac:dyDescent="0.2">
      <c r="A88" s="6" t="s">
        <v>733</v>
      </c>
      <c r="B88" s="8" t="str" cm="1">
        <f t="array" ref="B88">INDEX(_xlfn.TEXTSPLIT(A88,","),1)</f>
        <v>slave</v>
      </c>
      <c r="C88" s="10">
        <f>IFERROR(_xlfn.XLOOKUP(B88,Sheet2!A:A,Sheet2!B:B,"Missing",0),200)</f>
        <v>100.005</v>
      </c>
      <c r="D88" s="9">
        <f>IFERROR(_xlfn.XLOOKUP(B88,Sheet2!A:A,Sheet2!C:C,"Missing",0),200)</f>
        <v>0</v>
      </c>
      <c r="E88" s="9">
        <f>IFERROR(_xlfn.XLOOKUP(B88,Sheet2!A:A,Sheet2!D:D,"Missing",0),200)</f>
        <v>200</v>
      </c>
      <c r="F88" s="9">
        <f>IFERROR(_xlfn.XLOOKUP(C88,Sheet2!B:B,Sheet2!E:E,"Missing",0),200)</f>
        <v>0</v>
      </c>
    </row>
    <row r="89" spans="1:6" x14ac:dyDescent="0.2">
      <c r="A89" s="6" t="s">
        <v>753</v>
      </c>
      <c r="B89" s="8" t="str" cm="1">
        <f t="array" ref="B89">INDEX(_xlfn.TEXTSPLIT(A89,","),1)</f>
        <v>armpit</v>
      </c>
      <c r="C89" s="10">
        <f>IFERROR(_xlfn.XLOOKUP(B89,Sheet2!A:A,Sheet2!B:B,"Missing",0),200)</f>
        <v>100.0045205</v>
      </c>
      <c r="D89" s="9">
        <f>IFERROR(_xlfn.XLOOKUP(B89,Sheet2!A:A,Sheet2!C:C,"Missing",0),200)</f>
        <v>0</v>
      </c>
      <c r="E89" s="9">
        <f>IFERROR(_xlfn.XLOOKUP(B89,Sheet2!A:A,Sheet2!D:D,"Missing",0),200)</f>
        <v>200</v>
      </c>
      <c r="F89" s="9">
        <f>IFERROR(_xlfn.XLOOKUP(C89,Sheet2!B:B,Sheet2!E:E,"Missing",0),200)</f>
        <v>0</v>
      </c>
    </row>
    <row r="90" spans="1:6" x14ac:dyDescent="0.2">
      <c r="A90" s="6" t="s">
        <v>866</v>
      </c>
      <c r="B90" s="8" t="str" cm="1">
        <f t="array" ref="B90">INDEX(_xlfn.TEXTSPLIT(A90,","),1)</f>
        <v>moana</v>
      </c>
      <c r="C90" s="10">
        <f>IFERROR(_xlfn.XLOOKUP(B90,Sheet2!A:A,Sheet2!B:B,"Missing",0),200)</f>
        <v>100.00393085</v>
      </c>
      <c r="D90" s="9">
        <f>IFERROR(_xlfn.XLOOKUP(B90,Sheet2!A:A,Sheet2!C:C,"Missing",0),200)</f>
        <v>0</v>
      </c>
      <c r="E90" s="9">
        <f>IFERROR(_xlfn.XLOOKUP(B90,Sheet2!A:A,Sheet2!D:D,"Missing",0),200)</f>
        <v>200</v>
      </c>
      <c r="F90" s="9">
        <f>IFERROR(_xlfn.XLOOKUP(C90,Sheet2!B:B,Sheet2!E:E,"Missing",0),200)</f>
        <v>0</v>
      </c>
    </row>
    <row r="91" spans="1:6" x14ac:dyDescent="0.2">
      <c r="A91" s="6" t="s">
        <v>763</v>
      </c>
      <c r="B91" s="8" t="str" cm="1">
        <f t="array" ref="B91">INDEX(_xlfn.TEXTSPLIT(A91,","),1)</f>
        <v>giant</v>
      </c>
      <c r="C91" s="10">
        <f>IFERROR(_xlfn.XLOOKUP(B91,Sheet2!A:A,Sheet2!B:B,"Missing",0),200)</f>
        <v>72.858000000000004</v>
      </c>
      <c r="D91" s="9">
        <f>IFERROR(_xlfn.XLOOKUP(B91,Sheet2!A:A,Sheet2!C:C,"Missing",0),200)</f>
        <v>0</v>
      </c>
      <c r="E91" s="9">
        <f>IFERROR(_xlfn.XLOOKUP(B91,Sheet2!A:A,Sheet2!D:D,"Missing",0),200)</f>
        <v>200</v>
      </c>
      <c r="F91" s="9" t="s">
        <v>879</v>
      </c>
    </row>
    <row r="92" spans="1:6" x14ac:dyDescent="0.2">
      <c r="A92" s="6" t="s">
        <v>706</v>
      </c>
      <c r="B92" s="8" t="str" cm="1">
        <f t="array" ref="B92">INDEX(_xlfn.TEXTSPLIT(A92,","),1)</f>
        <v>shower</v>
      </c>
      <c r="C92" s="10">
        <f>IFERROR(_xlfn.XLOOKUP(B92,Sheet2!A:A,Sheet2!B:B,"Missing",0),200)</f>
        <v>65.091999999999999</v>
      </c>
      <c r="D92" s="9">
        <f>IFERROR(_xlfn.XLOOKUP(B92,Sheet2!A:A,Sheet2!C:C,"Missing",0),200)</f>
        <v>0</v>
      </c>
      <c r="E92" s="9">
        <f>IFERROR(_xlfn.XLOOKUP(B92,Sheet2!A:A,Sheet2!D:D,"Missing",0),200)</f>
        <v>200</v>
      </c>
      <c r="F92" s="9">
        <f>IFERROR(_xlfn.XLOOKUP(C92,Sheet2!B:B,Sheet2!E:E,"Missing",0),200)</f>
        <v>0</v>
      </c>
    </row>
    <row r="93" spans="1:6" x14ac:dyDescent="0.2">
      <c r="A93" s="6" t="s">
        <v>769</v>
      </c>
      <c r="B93" s="8" t="str" cm="1">
        <f t="array" ref="B93">INDEX(_xlfn.TEXTSPLIT(A93,","),1)</f>
        <v>mask</v>
      </c>
      <c r="C93" s="10">
        <f>IFERROR(_xlfn.XLOOKUP(B93,Sheet2!A:A,Sheet2!B:B,"Missing",0),200)</f>
        <v>57.255886779999997</v>
      </c>
      <c r="D93" s="9">
        <f>IFERROR(_xlfn.XLOOKUP(B93,Sheet2!A:A,Sheet2!C:C,"Missing",0),200)</f>
        <v>0</v>
      </c>
      <c r="E93" s="9">
        <f>IFERROR(_xlfn.XLOOKUP(B93,Sheet2!A:A,Sheet2!D:D,"Missing",0),200)</f>
        <v>200</v>
      </c>
      <c r="F93" s="9">
        <f>IFERROR(_xlfn.XLOOKUP(C93,Sheet2!B:B,Sheet2!E:E,"Missing",0),200)</f>
        <v>0</v>
      </c>
    </row>
    <row r="94" spans="1:6" x14ac:dyDescent="0.2">
      <c r="A94" s="6" t="s">
        <v>783</v>
      </c>
      <c r="B94" s="8" t="str" cm="1">
        <f t="array" ref="B94">INDEX(_xlfn.TEXTSPLIT(A94,","),1)</f>
        <v>nun</v>
      </c>
      <c r="C94" s="10">
        <f>IFERROR(_xlfn.XLOOKUP(B94,Sheet2!A:A,Sheet2!B:B,"Missing",0),200)</f>
        <v>55.589268429999997</v>
      </c>
      <c r="D94" s="9">
        <f>IFERROR(_xlfn.XLOOKUP(B94,Sheet2!A:A,Sheet2!C:C,"Missing",0),200)</f>
        <v>0</v>
      </c>
      <c r="E94" s="9">
        <f>IFERROR(_xlfn.XLOOKUP(B94,Sheet2!A:A,Sheet2!D:D,"Missing",0),200)</f>
        <v>200</v>
      </c>
      <c r="F94" s="9">
        <f>IFERROR(_xlfn.XLOOKUP(C94,Sheet2!B:B,Sheet2!E:E,"Missing",0),200)</f>
        <v>0</v>
      </c>
    </row>
    <row r="95" spans="1:6" x14ac:dyDescent="0.2">
      <c r="A95" s="6" t="s">
        <v>636</v>
      </c>
      <c r="B95" s="8" t="str" cm="1">
        <f t="array" ref="B95">INDEX(_xlfn.TEXTSPLIT(A95,","),1)</f>
        <v>Marvel</v>
      </c>
      <c r="C95" s="10">
        <f>IFERROR(_xlfn.XLOOKUP(B95,Sheet2!A:A,Sheet2!B:B,"Missing",0),200)</f>
        <v>39.29220041</v>
      </c>
      <c r="D95" s="9">
        <f>IFERROR(_xlfn.XLOOKUP(B95,Sheet2!A:A,Sheet2!C:C,"Missing",0),200)</f>
        <v>0</v>
      </c>
      <c r="E95" s="9">
        <f>IFERROR(_xlfn.XLOOKUP(B95,Sheet2!A:A,Sheet2!D:D,"Missing",0),200)</f>
        <v>200</v>
      </c>
      <c r="F95" s="9">
        <f>IFERROR(_xlfn.XLOOKUP(C95,Sheet2!B:B,Sheet2!E:E,"Missing",0),200)</f>
        <v>0</v>
      </c>
    </row>
    <row r="96" spans="1:6" x14ac:dyDescent="0.2">
      <c r="A96" s="6" t="s">
        <v>785</v>
      </c>
      <c r="B96" s="8" t="str" cm="1">
        <f t="array" ref="B96">INDEX(_xlfn.TEXTSPLIT(A96,","),1)</f>
        <v>angel</v>
      </c>
      <c r="C96" s="10">
        <f>IFERROR(_xlfn.XLOOKUP(B96,Sheet2!A:A,Sheet2!B:B,"Missing",0),200)</f>
        <v>39.168999999999997</v>
      </c>
      <c r="D96" s="9">
        <f>IFERROR(_xlfn.XLOOKUP(B96,Sheet2!A:A,Sheet2!C:C,"Missing",0),200)</f>
        <v>0</v>
      </c>
      <c r="E96" s="9">
        <f>IFERROR(_xlfn.XLOOKUP(B96,Sheet2!A:A,Sheet2!D:D,"Missing",0),200)</f>
        <v>200</v>
      </c>
      <c r="F96" s="9">
        <f>IFERROR(_xlfn.XLOOKUP(C96,Sheet2!B:B,Sheet2!E:E,"Missing",0),200)</f>
        <v>0</v>
      </c>
    </row>
    <row r="97" spans="1:6" x14ac:dyDescent="0.2">
      <c r="A97" s="6" t="s">
        <v>729</v>
      </c>
      <c r="B97" s="8" t="str" cm="1">
        <f t="array" ref="B97">INDEX(_xlfn.TEXTSPLIT(A97,","),1)</f>
        <v>vore</v>
      </c>
      <c r="C97" s="10">
        <f>IFERROR(_xlfn.XLOOKUP(B97,Sheet2!A:A,Sheet2!B:B,"Missing",0),200)</f>
        <v>36.530011989999998</v>
      </c>
      <c r="D97" s="9">
        <f>IFERROR(_xlfn.XLOOKUP(B97,Sheet2!A:A,Sheet2!C:C,"Missing",0),200)</f>
        <v>0</v>
      </c>
      <c r="E97" s="9">
        <f>IFERROR(_xlfn.XLOOKUP(B97,Sheet2!A:A,Sheet2!D:D,"Missing",0),200)</f>
        <v>200</v>
      </c>
      <c r="F97" s="9">
        <f>IFERROR(_xlfn.XLOOKUP(C97,Sheet2!B:B,Sheet2!E:E,"Missing",0),200)</f>
        <v>0</v>
      </c>
    </row>
    <row r="98" spans="1:6" x14ac:dyDescent="0.2">
      <c r="A98" s="6" t="s">
        <v>682</v>
      </c>
      <c r="B98" s="8" t="str" cm="1">
        <f t="array" ref="B98">INDEX(_xlfn.TEXTSPLIT(A98,","),1)</f>
        <v>college</v>
      </c>
      <c r="C98" s="10">
        <f>IFERROR(_xlfn.XLOOKUP(B98,Sheet2!A:A,Sheet2!B:B,"Missing",0),200)</f>
        <v>32.957000000000001</v>
      </c>
      <c r="D98" s="9">
        <f>IFERROR(_xlfn.XLOOKUP(B98,Sheet2!A:A,Sheet2!C:C,"Missing",0),200)</f>
        <v>0</v>
      </c>
      <c r="E98" s="9">
        <f>IFERROR(_xlfn.XLOOKUP(B98,Sheet2!A:A,Sheet2!D:D,"Missing",0),200)</f>
        <v>200</v>
      </c>
      <c r="F98" s="9">
        <f>IFERROR(_xlfn.XLOOKUP(C98,Sheet2!B:B,Sheet2!E:E,"Missing",0),200)</f>
        <v>0</v>
      </c>
    </row>
    <row r="99" spans="1:6" x14ac:dyDescent="0.2">
      <c r="A99" s="6" t="s">
        <v>863</v>
      </c>
      <c r="B99" s="8" t="str" cm="1">
        <f t="array" ref="B99">INDEX(_xlfn.TEXTSPLIT(A99,","),1)</f>
        <v>elsa</v>
      </c>
      <c r="C99" s="10">
        <f>IFERROR(_xlfn.XLOOKUP(B99,Sheet2!A:A,Sheet2!B:B,"Missing",0),200)</f>
        <v>31.858186119999999</v>
      </c>
      <c r="D99" s="9">
        <f>IFERROR(_xlfn.XLOOKUP(B99,Sheet2!A:A,Sheet2!C:C,"Missing",0),200)</f>
        <v>0</v>
      </c>
      <c r="E99" s="9">
        <f>IFERROR(_xlfn.XLOOKUP(B99,Sheet2!A:A,Sheet2!D:D,"Missing",0),200)</f>
        <v>200</v>
      </c>
      <c r="F99" s="9">
        <f>IFERROR(_xlfn.XLOOKUP(C99,Sheet2!B:B,Sheet2!E:E,"Missing",0),200)</f>
        <v>0</v>
      </c>
    </row>
    <row r="100" spans="1:6" x14ac:dyDescent="0.2">
      <c r="A100" s="6" t="s">
        <v>741</v>
      </c>
      <c r="B100" s="8" t="str" cm="1">
        <f t="array" ref="B100">INDEX(_xlfn.TEXTSPLIT(A100,","),1)</f>
        <v>lactation</v>
      </c>
      <c r="C100" s="10">
        <f>IFERROR(_xlfn.XLOOKUP(B100,Sheet2!A:A,Sheet2!B:B,"Missing",0),200)</f>
        <v>22.044407059999902</v>
      </c>
      <c r="D100" s="9">
        <f>IFERROR(_xlfn.XLOOKUP(B100,Sheet2!A:A,Sheet2!C:C,"Missing",0),200)</f>
        <v>0</v>
      </c>
      <c r="E100" s="9">
        <f>IFERROR(_xlfn.XLOOKUP(B100,Sheet2!A:A,Sheet2!D:D,"Missing",0),200)</f>
        <v>200</v>
      </c>
      <c r="F100" s="9">
        <f>IFERROR(_xlfn.XLOOKUP(C100,Sheet2!B:B,Sheet2!E:E,"Missing",0),200)</f>
        <v>0</v>
      </c>
    </row>
    <row r="101" spans="1:6" x14ac:dyDescent="0.2">
      <c r="A101" s="6" t="s">
        <v>709</v>
      </c>
      <c r="B101" s="8" t="str" cm="1">
        <f t="array" ref="B101">INDEX(_xlfn.TEXTSPLIT(A101,","),1)</f>
        <v>russian</v>
      </c>
      <c r="C101" s="10">
        <f>IFERROR(_xlfn.XLOOKUP(B101,Sheet2!A:A,Sheet2!B:B,"Missing",0),200)</f>
        <v>21.701999999999899</v>
      </c>
      <c r="D101" s="9">
        <f>IFERROR(_xlfn.XLOOKUP(B101,Sheet2!A:A,Sheet2!C:C,"Missing",0),200)</f>
        <v>0</v>
      </c>
      <c r="E101" s="9">
        <f>IFERROR(_xlfn.XLOOKUP(B101,Sheet2!A:A,Sheet2!D:D,"Missing",0),200)</f>
        <v>200</v>
      </c>
      <c r="F101" s="9">
        <f>IFERROR(_xlfn.XLOOKUP(C101,Sheet2!B:B,Sheet2!E:E,"Missing",0),200)</f>
        <v>0</v>
      </c>
    </row>
    <row r="102" spans="1:6" x14ac:dyDescent="0.2">
      <c r="A102" s="6" t="s">
        <v>751</v>
      </c>
      <c r="B102" s="8" t="str" cm="1">
        <f t="array" ref="B102">INDEX(_xlfn.TEXTSPLIT(A102,","),1)</f>
        <v>rimjob</v>
      </c>
      <c r="C102" s="10">
        <f>IFERROR(_xlfn.XLOOKUP(B102,Sheet2!A:A,Sheet2!B:B,"Missing",0),200)</f>
        <v>21.552</v>
      </c>
      <c r="D102" s="9">
        <f>IFERROR(_xlfn.XLOOKUP(B102,Sheet2!A:A,Sheet2!C:C,"Missing",0),200)</f>
        <v>0</v>
      </c>
      <c r="E102" s="9">
        <f>IFERROR(_xlfn.XLOOKUP(B102,Sheet2!A:A,Sheet2!D:D,"Missing",0),200)</f>
        <v>200</v>
      </c>
      <c r="F102" s="9">
        <f>IFERROR(_xlfn.XLOOKUP(C102,Sheet2!B:B,Sheet2!E:E,"Missing",0),200)</f>
        <v>0</v>
      </c>
    </row>
    <row r="103" spans="1:6" x14ac:dyDescent="0.2">
      <c r="A103" s="6" t="s">
        <v>772</v>
      </c>
      <c r="B103" s="8" t="str" cm="1">
        <f t="array" ref="B103">INDEX(_xlfn.TEXTSPLIT(A103,","),1)</f>
        <v>slime</v>
      </c>
      <c r="C103" s="10">
        <f>IFERROR(_xlfn.XLOOKUP(B103,Sheet2!A:A,Sheet2!B:B,"Missing",0),200)</f>
        <v>20.4113431</v>
      </c>
      <c r="D103" s="9">
        <f>IFERROR(_xlfn.XLOOKUP(B103,Sheet2!A:A,Sheet2!C:C,"Missing",0),200)</f>
        <v>0</v>
      </c>
      <c r="E103" s="9">
        <f>IFERROR(_xlfn.XLOOKUP(B103,Sheet2!A:A,Sheet2!D:D,"Missing",0),200)</f>
        <v>200</v>
      </c>
      <c r="F103" s="9">
        <f>IFERROR(_xlfn.XLOOKUP(C103,Sheet2!B:B,Sheet2!E:E,"Missing",0),200)</f>
        <v>0</v>
      </c>
    </row>
    <row r="104" spans="1:6" x14ac:dyDescent="0.2">
      <c r="A104" s="6" t="s">
        <v>672</v>
      </c>
      <c r="B104" s="8" t="str" cm="1">
        <f t="array" ref="B104">INDEX(_xlfn.TEXTSPLIT(A104,","),1)</f>
        <v>bbw</v>
      </c>
      <c r="C104" s="10">
        <f>IFERROR(_xlfn.XLOOKUP(B104,Sheet2!A:A,Sheet2!B:B,"Missing",0),200)</f>
        <v>16.329000000000001</v>
      </c>
      <c r="D104" s="9">
        <f>IFERROR(_xlfn.XLOOKUP(B104,Sheet2!A:A,Sheet2!C:C,"Missing",0),200)</f>
        <v>0</v>
      </c>
      <c r="E104" s="9">
        <f>IFERROR(_xlfn.XLOOKUP(B104,Sheet2!A:A,Sheet2!D:D,"Missing",0),200)</f>
        <v>200</v>
      </c>
      <c r="F104" s="9">
        <f>IFERROR(_xlfn.XLOOKUP(C104,Sheet2!B:B,Sheet2!E:E,"Missing",0),200)</f>
        <v>0</v>
      </c>
    </row>
    <row r="105" spans="1:6" x14ac:dyDescent="0.2">
      <c r="A105" s="6" t="s">
        <v>705</v>
      </c>
      <c r="B105" s="8" t="str" cm="1">
        <f t="array" ref="B105">INDEX(_xlfn.TEXTSPLIT(A105,","),1)</f>
        <v>secretary</v>
      </c>
      <c r="C105" s="10">
        <f>IFERROR(_xlfn.XLOOKUP(B105,Sheet2!A:A,Sheet2!B:B,"Missing",0),200)</f>
        <v>15.565</v>
      </c>
      <c r="D105" s="9">
        <f>IFERROR(_xlfn.XLOOKUP(B105,Sheet2!A:A,Sheet2!C:C,"Missing",0),200)</f>
        <v>0</v>
      </c>
      <c r="E105" s="9">
        <f>IFERROR(_xlfn.XLOOKUP(B105,Sheet2!A:A,Sheet2!D:D,"Missing",0),200)</f>
        <v>200</v>
      </c>
      <c r="F105" s="9">
        <f>IFERROR(_xlfn.XLOOKUP(C105,Sheet2!B:B,Sheet2!E:E,"Missing",0),200)</f>
        <v>0</v>
      </c>
    </row>
    <row r="106" spans="1:6" x14ac:dyDescent="0.2">
      <c r="A106" s="6" t="s">
        <v>716</v>
      </c>
      <c r="B106" s="8" t="str" cm="1">
        <f t="array" ref="B106">INDEX(_xlfn.TEXTSPLIT(A106,","),1)</f>
        <v>leather</v>
      </c>
      <c r="C106" s="10">
        <f>IFERROR(_xlfn.XLOOKUP(B106,Sheet2!A:A,Sheet2!B:B,"Missing",0),200)</f>
        <v>15.408697099999999</v>
      </c>
      <c r="D106" s="9">
        <f>IFERROR(_xlfn.XLOOKUP(B106,Sheet2!A:A,Sheet2!C:C,"Missing",0),200)</f>
        <v>0</v>
      </c>
      <c r="E106" s="9">
        <f>IFERROR(_xlfn.XLOOKUP(B106,Sheet2!A:A,Sheet2!D:D,"Missing",0),200)</f>
        <v>200</v>
      </c>
      <c r="F106" s="9">
        <f>IFERROR(_xlfn.XLOOKUP(C106,Sheet2!B:B,Sheet2!E:E,"Missing",0),200)</f>
        <v>0</v>
      </c>
    </row>
    <row r="107" spans="1:6" x14ac:dyDescent="0.2">
      <c r="A107" s="6" t="s">
        <v>673</v>
      </c>
      <c r="B107" s="8" t="str" cm="1">
        <f t="array" ref="B107">INDEX(_xlfn.TEXTSPLIT(A107,","),1)</f>
        <v>teacher</v>
      </c>
      <c r="C107" s="10">
        <f>IFERROR(_xlfn.XLOOKUP(B107,Sheet2!A:A,Sheet2!B:B,"Missing",0),200)</f>
        <v>12.964</v>
      </c>
      <c r="D107" s="9">
        <f>IFERROR(_xlfn.XLOOKUP(B107,Sheet2!A:A,Sheet2!C:C,"Missing",0),200)</f>
        <v>0</v>
      </c>
      <c r="E107" s="9">
        <f>IFERROR(_xlfn.XLOOKUP(B107,Sheet2!A:A,Sheet2!D:D,"Missing",0),200)</f>
        <v>200</v>
      </c>
      <c r="F107" s="9">
        <f>IFERROR(_xlfn.XLOOKUP(C107,Sheet2!B:B,Sheet2!E:E,"Missing",0),200)</f>
        <v>0</v>
      </c>
    </row>
    <row r="108" spans="1:6" x14ac:dyDescent="0.2">
      <c r="A108" s="6" t="s">
        <v>725</v>
      </c>
      <c r="B108" s="8" t="str" cm="1">
        <f t="array" ref="B108">INDEX(_xlfn.TEXTSPLIT(A108,","),1)</f>
        <v>gaping</v>
      </c>
      <c r="C108" s="10">
        <f>IFERROR(_xlfn.XLOOKUP(B108,Sheet2!A:A,Sheet2!B:B,"Missing",0),200)</f>
        <v>12.425999999999901</v>
      </c>
      <c r="D108" s="9">
        <f>IFERROR(_xlfn.XLOOKUP(B108,Sheet2!A:A,Sheet2!C:C,"Missing",0),200)</f>
        <v>0</v>
      </c>
      <c r="E108" s="9">
        <f>IFERROR(_xlfn.XLOOKUP(B108,Sheet2!A:A,Sheet2!D:D,"Missing",0),200)</f>
        <v>200</v>
      </c>
      <c r="F108" s="9">
        <f>IFERROR(_xlfn.XLOOKUP(C108,Sheet2!B:B,Sheet2!E:E,"Missing",0),200)</f>
        <v>0</v>
      </c>
    </row>
    <row r="109" spans="1:6" x14ac:dyDescent="0.2">
      <c r="A109" s="6" t="s">
        <v>750</v>
      </c>
      <c r="B109" s="8" t="str" cm="1">
        <f t="array" ref="B109">INDEX(_xlfn.TEXTSPLIT(A109,","),1)</f>
        <v>prostate</v>
      </c>
      <c r="C109" s="10">
        <f>IFERROR(_xlfn.XLOOKUP(B109,Sheet2!A:A,Sheet2!B:B,"Missing",0),200)</f>
        <v>11.972</v>
      </c>
      <c r="D109" s="9">
        <f>IFERROR(_xlfn.XLOOKUP(B109,Sheet2!A:A,Sheet2!C:C,"Missing",0),200)</f>
        <v>0</v>
      </c>
      <c r="E109" s="9">
        <f>IFERROR(_xlfn.XLOOKUP(B109,Sheet2!A:A,Sheet2!D:D,"Missing",0),200)</f>
        <v>200</v>
      </c>
      <c r="F109" s="9">
        <f>IFERROR(_xlfn.XLOOKUP(C109,Sheet2!B:B,Sheet2!E:E,"Missing",0),200)</f>
        <v>0</v>
      </c>
    </row>
    <row r="110" spans="1:6" x14ac:dyDescent="0.2">
      <c r="A110" s="6" t="s">
        <v>710</v>
      </c>
      <c r="B110" s="8" t="str" cm="1">
        <f t="array" ref="B110">INDEX(_xlfn.TEXTSPLIT(A110,","),1)</f>
        <v>german</v>
      </c>
      <c r="C110" s="10">
        <f>IFERROR(_xlfn.XLOOKUP(B110,Sheet2!A:A,Sheet2!B:B,"Missing",0),200)</f>
        <v>11.948</v>
      </c>
      <c r="D110" s="9">
        <f>IFERROR(_xlfn.XLOOKUP(B110,Sheet2!A:A,Sheet2!C:C,"Missing",0),200)</f>
        <v>0</v>
      </c>
      <c r="E110" s="9">
        <f>IFERROR(_xlfn.XLOOKUP(B110,Sheet2!A:A,Sheet2!D:D,"Missing",0),200)</f>
        <v>200</v>
      </c>
      <c r="F110" s="9">
        <f>IFERROR(_xlfn.XLOOKUP(C110,Sheet2!B:B,Sheet2!E:E,"Missing",0),200)</f>
        <v>0</v>
      </c>
    </row>
    <row r="111" spans="1:6" x14ac:dyDescent="0.2">
      <c r="A111" s="6" t="s">
        <v>707</v>
      </c>
      <c r="B111" s="8" t="str" cm="1">
        <f t="array" ref="B111">INDEX(_xlfn.TEXTSPLIT(A111,","),1)</f>
        <v>korean</v>
      </c>
      <c r="C111" s="10">
        <f>IFERROR(_xlfn.XLOOKUP(B111,Sheet2!A:A,Sheet2!B:B,"Missing",0),200)</f>
        <v>11.613</v>
      </c>
      <c r="D111" s="9">
        <f>IFERROR(_xlfn.XLOOKUP(B111,Sheet2!A:A,Sheet2!C:C,"Missing",0),200)</f>
        <v>0</v>
      </c>
      <c r="E111" s="9">
        <f>IFERROR(_xlfn.XLOOKUP(B111,Sheet2!A:A,Sheet2!D:D,"Missing",0),200)</f>
        <v>200</v>
      </c>
      <c r="F111" s="9">
        <f>IFERROR(_xlfn.XLOOKUP(C111,Sheet2!B:B,Sheet2!E:E,"Missing",0),200)</f>
        <v>0</v>
      </c>
    </row>
    <row r="112" spans="1:6" x14ac:dyDescent="0.2">
      <c r="A112" s="6" t="s">
        <v>717</v>
      </c>
      <c r="B112" s="8" t="str" cm="1">
        <f t="array" ref="B112">INDEX(_xlfn.TEXTSPLIT(A112,","),1)</f>
        <v>uniform</v>
      </c>
      <c r="C112" s="10">
        <f>IFERROR(_xlfn.XLOOKUP(B112,Sheet2!A:A,Sheet2!B:B,"Missing",0),200)</f>
        <v>10.875999999999999</v>
      </c>
      <c r="D112" s="9">
        <f>IFERROR(_xlfn.XLOOKUP(B112,Sheet2!A:A,Sheet2!C:C,"Missing",0),200)</f>
        <v>0</v>
      </c>
      <c r="E112" s="9">
        <f>IFERROR(_xlfn.XLOOKUP(B112,Sheet2!A:A,Sheet2!D:D,"Missing",0),200)</f>
        <v>200</v>
      </c>
      <c r="F112" s="9">
        <f>IFERROR(_xlfn.XLOOKUP(C112,Sheet2!B:B,Sheet2!E:E,"Missing",0),200)</f>
        <v>0</v>
      </c>
    </row>
    <row r="113" spans="1:6" x14ac:dyDescent="0.2">
      <c r="A113" s="6" t="s">
        <v>786</v>
      </c>
      <c r="B113" s="8" t="str" cm="1">
        <f t="array" ref="B113">INDEX(_xlfn.TEXTSPLIT(A113,","),1)</f>
        <v>succubus</v>
      </c>
      <c r="C113" s="10">
        <f>IFERROR(_xlfn.XLOOKUP(B113,Sheet2!A:A,Sheet2!B:B,"Missing",0),200)</f>
        <v>10.611544019999901</v>
      </c>
      <c r="D113" s="9">
        <f>IFERROR(_xlfn.XLOOKUP(B113,Sheet2!A:A,Sheet2!C:C,"Missing",0),200)</f>
        <v>0</v>
      </c>
      <c r="E113" s="9">
        <f>IFERROR(_xlfn.XLOOKUP(B113,Sheet2!A:A,Sheet2!D:D,"Missing",0),200)</f>
        <v>200</v>
      </c>
      <c r="F113" s="9">
        <f>IFERROR(_xlfn.XLOOKUP(C113,Sheet2!B:B,Sheet2!E:E,"Missing",0),200)</f>
        <v>0</v>
      </c>
    </row>
    <row r="114" spans="1:6" x14ac:dyDescent="0.2">
      <c r="A114" s="6" t="s">
        <v>718</v>
      </c>
      <c r="B114" s="8" t="str" cm="1">
        <f t="array" ref="B114">INDEX(_xlfn.TEXTSPLIT(A114,","),1)</f>
        <v>stockings</v>
      </c>
      <c r="C114" s="10">
        <f>IFERROR(_xlfn.XLOOKUP(B114,Sheet2!A:A,Sheet2!B:B,"Missing",0),200)</f>
        <v>9.5359999999999996</v>
      </c>
      <c r="D114" s="9">
        <f>IFERROR(_xlfn.XLOOKUP(B114,Sheet2!A:A,Sheet2!C:C,"Missing",0),200)</f>
        <v>0</v>
      </c>
      <c r="E114" s="9">
        <f>IFERROR(_xlfn.XLOOKUP(B114,Sheet2!A:A,Sheet2!D:D,"Missing",0),200)</f>
        <v>200</v>
      </c>
      <c r="F114" s="9">
        <f>IFERROR(_xlfn.XLOOKUP(C114,Sheet2!B:B,Sheet2!E:E,"Missing",0),200)</f>
        <v>0</v>
      </c>
    </row>
    <row r="115" spans="1:6" x14ac:dyDescent="0.2">
      <c r="A115" s="6" t="s">
        <v>719</v>
      </c>
      <c r="B115" s="8" t="str" cm="1">
        <f t="array" ref="B115">INDEX(_xlfn.TEXTSPLIT(A115,","),1)</f>
        <v>heels</v>
      </c>
      <c r="C115" s="10">
        <f>IFERROR(_xlfn.XLOOKUP(B115,Sheet2!A:A,Sheet2!B:B,"Missing",0),200)</f>
        <v>8.6910000000000007</v>
      </c>
      <c r="D115" s="9">
        <f>IFERROR(_xlfn.XLOOKUP(B115,Sheet2!A:A,Sheet2!C:C,"Missing",0),200)</f>
        <v>0</v>
      </c>
      <c r="E115" s="9">
        <f>IFERROR(_xlfn.XLOOKUP(B115,Sheet2!A:A,Sheet2!D:D,"Missing",0),200)</f>
        <v>200</v>
      </c>
      <c r="F115" s="9">
        <f>IFERROR(_xlfn.XLOOKUP(C115,Sheet2!B:B,Sheet2!E:E,"Missing",0),200)</f>
        <v>0</v>
      </c>
    </row>
    <row r="116" spans="1:6" x14ac:dyDescent="0.2">
      <c r="A116" s="6" t="s">
        <v>789</v>
      </c>
      <c r="B116" s="8" t="str" cm="1">
        <f t="array" ref="B116">INDEX(_xlfn.TEXTSPLIT(A116,","),1)</f>
        <v>mummy</v>
      </c>
      <c r="C116" s="10">
        <f>IFERROR(_xlfn.XLOOKUP(B116,Sheet2!A:A,Sheet2!B:B,"Missing",0),200)</f>
        <v>8.2357408499999991</v>
      </c>
      <c r="D116" s="9">
        <f>IFERROR(_xlfn.XLOOKUP(B116,Sheet2!A:A,Sheet2!C:C,"Missing",0),200)</f>
        <v>0</v>
      </c>
      <c r="E116" s="9">
        <f>IFERROR(_xlfn.XLOOKUP(B116,Sheet2!A:A,Sheet2!D:D,"Missing",0),200)</f>
        <v>200</v>
      </c>
      <c r="F116" s="9">
        <f>IFERROR(_xlfn.XLOOKUP(C116,Sheet2!B:B,Sheet2!E:E,"Missing",0),200)</f>
        <v>0</v>
      </c>
    </row>
    <row r="117" spans="1:6" x14ac:dyDescent="0.2">
      <c r="A117" s="6" t="s">
        <v>675</v>
      </c>
      <c r="B117" s="8" t="str" cm="1">
        <f t="array" ref="B117">INDEX(_xlfn.TEXTSPLIT(A117,","),1)</f>
        <v>nurse</v>
      </c>
      <c r="C117" s="10">
        <f>IFERROR(_xlfn.XLOOKUP(B117,Sheet2!A:A,Sheet2!B:B,"Missing",0),200)</f>
        <v>8.1489999999999991</v>
      </c>
      <c r="D117" s="9">
        <f>IFERROR(_xlfn.XLOOKUP(B117,Sheet2!A:A,Sheet2!C:C,"Missing",0),200)</f>
        <v>0</v>
      </c>
      <c r="E117" s="9">
        <f>IFERROR(_xlfn.XLOOKUP(B117,Sheet2!A:A,Sheet2!D:D,"Missing",0),200)</f>
        <v>200</v>
      </c>
      <c r="F117" s="9">
        <f>IFERROR(_xlfn.XLOOKUP(C117,Sheet2!B:B,Sheet2!E:E,"Missing",0),200)</f>
        <v>0</v>
      </c>
    </row>
    <row r="118" spans="1:6" x14ac:dyDescent="0.2">
      <c r="A118" s="6" t="s">
        <v>720</v>
      </c>
      <c r="B118" s="8" t="str" cm="1">
        <f t="array" ref="B118">INDEX(_xlfn.TEXTSPLIT(A118,","),1)</f>
        <v>glasses</v>
      </c>
      <c r="C118" s="10">
        <f>IFERROR(_xlfn.XLOOKUP(B118,Sheet2!A:A,Sheet2!B:B,"Missing",0),200)</f>
        <v>7.2610000000000001</v>
      </c>
      <c r="D118" s="9">
        <f>IFERROR(_xlfn.XLOOKUP(B118,Sheet2!A:A,Sheet2!C:C,"Missing",0),200)</f>
        <v>0</v>
      </c>
      <c r="E118" s="9">
        <f>IFERROR(_xlfn.XLOOKUP(B118,Sheet2!A:A,Sheet2!D:D,"Missing",0),200)</f>
        <v>200</v>
      </c>
      <c r="F118" s="9">
        <f>IFERROR(_xlfn.XLOOKUP(C118,Sheet2!B:B,Sheet2!E:E,"Missing",0),200)</f>
        <v>0</v>
      </c>
    </row>
    <row r="119" spans="1:6" x14ac:dyDescent="0.2">
      <c r="A119" s="6" t="s">
        <v>635</v>
      </c>
      <c r="B119" s="8" t="str" cm="1">
        <f t="array" ref="B119">INDEX(_xlfn.TEXTSPLIT(A119,","),1)</f>
        <v>Pegging</v>
      </c>
      <c r="C119" s="10">
        <f>IFERROR(_xlfn.XLOOKUP(B119,Sheet2!A:A,Sheet2!B:B,"Missing",0),200)</f>
        <v>6.1749999999999998</v>
      </c>
      <c r="D119" s="9">
        <f>IFERROR(_xlfn.XLOOKUP(B119,Sheet2!A:A,Sheet2!C:C,"Missing",0),200)</f>
        <v>0</v>
      </c>
      <c r="E119" s="9">
        <f>IFERROR(_xlfn.XLOOKUP(B119,Sheet2!A:A,Sheet2!D:D,"Missing",0),200)</f>
        <v>200</v>
      </c>
      <c r="F119" s="9">
        <f>IFERROR(_xlfn.XLOOKUP(C119,Sheet2!B:B,Sheet2!E:E,"Missing",0),200)</f>
        <v>0</v>
      </c>
    </row>
    <row r="120" spans="1:6" x14ac:dyDescent="0.2">
      <c r="A120" s="6" t="s">
        <v>643</v>
      </c>
      <c r="B120" s="8" t="str" cm="1">
        <f t="array" ref="B120">INDEX(_xlfn.TEXTSPLIT(A120,","),1)</f>
        <v>Cosplay</v>
      </c>
      <c r="C120" s="10">
        <f>IFERROR(_xlfn.XLOOKUP(B120,Sheet2!A:A,Sheet2!B:B,"Missing",0),200)</f>
        <v>5.6029999999999998</v>
      </c>
      <c r="D120" s="9">
        <f>IFERROR(_xlfn.XLOOKUP(B120,Sheet2!A:A,Sheet2!C:C,"Missing",0),200)</f>
        <v>0</v>
      </c>
      <c r="E120" s="9">
        <f>IFERROR(_xlfn.XLOOKUP(B120,Sheet2!A:A,Sheet2!D:D,"Missing",0),200)</f>
        <v>200</v>
      </c>
      <c r="F120" s="9">
        <f>IFERROR(_xlfn.XLOOKUP(C120,Sheet2!B:B,Sheet2!E:E,"Missing",0),200)</f>
        <v>0</v>
      </c>
    </row>
    <row r="121" spans="1:6" x14ac:dyDescent="0.2">
      <c r="A121" s="6" t="s">
        <v>743</v>
      </c>
      <c r="B121" s="8" t="str" cm="1">
        <f t="array" ref="B121">INDEX(_xlfn.TEXTSPLIT(A121,","),1)</f>
        <v>tickling</v>
      </c>
      <c r="C121" s="10">
        <f>IFERROR(_xlfn.XLOOKUP(B121,Sheet2!A:A,Sheet2!B:B,"Missing",0),200)</f>
        <v>4.4204938800000004</v>
      </c>
      <c r="D121" s="9">
        <f>IFERROR(_xlfn.XLOOKUP(B121,Sheet2!A:A,Sheet2!C:C,"Missing",0),200)</f>
        <v>0</v>
      </c>
      <c r="E121" s="9">
        <f>IFERROR(_xlfn.XLOOKUP(B121,Sheet2!A:A,Sheet2!D:D,"Missing",0),200)</f>
        <v>200</v>
      </c>
      <c r="F121" s="9">
        <f>IFERROR(_xlfn.XLOOKUP(C121,Sheet2!B:B,Sheet2!E:E,"Missing",0),200)</f>
        <v>0</v>
      </c>
    </row>
    <row r="122" spans="1:6" x14ac:dyDescent="0.2">
      <c r="A122" s="6" t="s">
        <v>638</v>
      </c>
      <c r="B122" s="8" t="str" cm="1">
        <f t="array" ref="B122">INDEX(_xlfn.TEXTSPLIT(A122,","),1)</f>
        <v>Sexdoll</v>
      </c>
      <c r="C122" s="10">
        <f>IFERROR(_xlfn.XLOOKUP(B122,Sheet2!A:A,Sheet2!B:B,"Missing",0),200)</f>
        <v>3.3686375599999998</v>
      </c>
      <c r="D122" s="9">
        <f>IFERROR(_xlfn.XLOOKUP(B122,Sheet2!A:A,Sheet2!C:C,"Missing",0),200)</f>
        <v>0</v>
      </c>
      <c r="E122" s="9">
        <f>IFERROR(_xlfn.XLOOKUP(B122,Sheet2!A:A,Sheet2!D:D,"Missing",0),200)</f>
        <v>200</v>
      </c>
      <c r="F122" s="9">
        <f>IFERROR(_xlfn.XLOOKUP(C122,Sheet2!B:B,Sheet2!E:E,"Missing",0),200)</f>
        <v>0</v>
      </c>
    </row>
    <row r="123" spans="1:6" x14ac:dyDescent="0.2">
      <c r="A123" s="6" t="s">
        <v>767</v>
      </c>
      <c r="B123" s="8" t="str" cm="1">
        <f t="array" ref="B123">INDEX(_xlfn.TEXTSPLIT(A123,","),1)</f>
        <v>robot</v>
      </c>
      <c r="C123" s="10">
        <f>IFERROR(_xlfn.XLOOKUP(B123,Sheet2!A:A,Sheet2!B:B,"Missing",0),200)</f>
        <v>3.3366038800000002</v>
      </c>
      <c r="D123" s="9">
        <f>IFERROR(_xlfn.XLOOKUP(B123,Sheet2!A:A,Sheet2!C:C,"Missing",0),200)</f>
        <v>0</v>
      </c>
      <c r="E123" s="9">
        <f>IFERROR(_xlfn.XLOOKUP(B123,Sheet2!A:A,Sheet2!D:D,"Missing",0),200)</f>
        <v>200</v>
      </c>
      <c r="F123" s="9">
        <f>IFERROR(_xlfn.XLOOKUP(C123,Sheet2!B:B,Sheet2!E:E,"Missing",0),200)</f>
        <v>0</v>
      </c>
    </row>
    <row r="124" spans="1:6" x14ac:dyDescent="0.2">
      <c r="A124" s="6" t="s">
        <v>644</v>
      </c>
      <c r="B124" s="8" t="str" cm="1">
        <f t="array" ref="B124">INDEX(_xlfn.TEXTSPLIT(A124,","),1)</f>
        <v>Findom</v>
      </c>
      <c r="C124" s="10">
        <f>IFERROR(_xlfn.XLOOKUP(B124,Sheet2!A:A,Sheet2!B:B,"Missing",0),200)</f>
        <v>3.1382789500000001</v>
      </c>
      <c r="D124" s="9">
        <f>IFERROR(_xlfn.XLOOKUP(B124,Sheet2!A:A,Sheet2!C:C,"Missing",0),200)</f>
        <v>0</v>
      </c>
      <c r="E124" s="9">
        <f>IFERROR(_xlfn.XLOOKUP(B124,Sheet2!A:A,Sheet2!D:D,"Missing",0),200)</f>
        <v>200</v>
      </c>
      <c r="F124" s="9">
        <f>IFERROR(_xlfn.XLOOKUP(C124,Sheet2!B:B,Sheet2!E:E,"Missing",0),200)</f>
        <v>0</v>
      </c>
    </row>
    <row r="125" spans="1:6" x14ac:dyDescent="0.2">
      <c r="A125" s="6" t="s">
        <v>758</v>
      </c>
      <c r="B125" s="8" t="str" cm="1">
        <f t="array" ref="B125">INDEX(_xlfn.TEXTSPLIT(A125,","),1)</f>
        <v>candle</v>
      </c>
      <c r="C125" s="10">
        <f>IFERROR(_xlfn.XLOOKUP(B125,Sheet2!A:A,Sheet2!B:B,"Missing",0),200)</f>
        <v>3.1159263499999899</v>
      </c>
      <c r="D125" s="9">
        <f>IFERROR(_xlfn.XLOOKUP(B125,Sheet2!A:A,Sheet2!C:C,"Missing",0),200)</f>
        <v>0</v>
      </c>
      <c r="E125" s="9">
        <f>IFERROR(_xlfn.XLOOKUP(B125,Sheet2!A:A,Sheet2!D:D,"Missing",0),200)</f>
        <v>200</v>
      </c>
      <c r="F125" s="9">
        <f>IFERROR(_xlfn.XLOOKUP(C125,Sheet2!B:B,Sheet2!E:E,"Missing",0),200)</f>
        <v>0</v>
      </c>
    </row>
    <row r="126" spans="1:6" x14ac:dyDescent="0.2">
      <c r="A126" s="6" t="s">
        <v>728</v>
      </c>
      <c r="B126" s="8" t="str" cm="1">
        <f t="array" ref="B126">INDEX(_xlfn.TEXTSPLIT(A126,","),1)</f>
        <v>giantess</v>
      </c>
      <c r="C126" s="10">
        <f>IFERROR(_xlfn.XLOOKUP(B126,Sheet2!A:A,Sheet2!B:B,"Missing",0),200)</f>
        <v>2.6815559499999999</v>
      </c>
      <c r="D126" s="9">
        <f>IFERROR(_xlfn.XLOOKUP(B126,Sheet2!A:A,Sheet2!C:C,"Missing",0),200)</f>
        <v>0</v>
      </c>
      <c r="E126" s="9">
        <f>IFERROR(_xlfn.XLOOKUP(B126,Sheet2!A:A,Sheet2!D:D,"Missing",0),200)</f>
        <v>200</v>
      </c>
      <c r="F126" s="9">
        <f>IFERROR(_xlfn.XLOOKUP(C126,Sheet2!B:B,Sheet2!E:E,"Missing",0),200)</f>
        <v>0</v>
      </c>
    </row>
    <row r="127" spans="1:6" x14ac:dyDescent="0.2">
      <c r="A127" s="6" t="s">
        <v>730</v>
      </c>
      <c r="B127" s="8" t="str" cm="1">
        <f t="array" ref="B127">INDEX(_xlfn.TEXTSPLIT(A127,","),1)</f>
        <v>shibari</v>
      </c>
      <c r="C127" s="10">
        <f>IFERROR(_xlfn.XLOOKUP(B127,Sheet2!A:A,Sheet2!B:B,"Missing",0),200)</f>
        <v>2.35427242</v>
      </c>
      <c r="D127" s="9">
        <f>IFERROR(_xlfn.XLOOKUP(B127,Sheet2!A:A,Sheet2!C:C,"Missing",0),200)</f>
        <v>0</v>
      </c>
      <c r="E127" s="9">
        <f>IFERROR(_xlfn.XLOOKUP(B127,Sheet2!A:A,Sheet2!D:D,"Missing",0),200)</f>
        <v>200</v>
      </c>
      <c r="F127" s="9">
        <f>IFERROR(_xlfn.XLOOKUP(C127,Sheet2!B:B,Sheet2!E:E,"Missing",0),200)</f>
        <v>0</v>
      </c>
    </row>
    <row r="128" spans="1:6" x14ac:dyDescent="0.2">
      <c r="A128" s="6" t="s">
        <v>787</v>
      </c>
      <c r="B128" s="8" t="str" cm="1">
        <f t="array" ref="B128">INDEX(_xlfn.TEXTSPLIT(A128,","),1)</f>
        <v>vampire</v>
      </c>
      <c r="C128" s="10">
        <f>IFERROR(_xlfn.XLOOKUP(B128,Sheet2!A:A,Sheet2!B:B,"Missing",0),200)</f>
        <v>2.31256964</v>
      </c>
      <c r="D128" s="9">
        <f>IFERROR(_xlfn.XLOOKUP(B128,Sheet2!A:A,Sheet2!C:C,"Missing",0),200)</f>
        <v>0</v>
      </c>
      <c r="E128" s="9">
        <f>IFERROR(_xlfn.XLOOKUP(B128,Sheet2!A:A,Sheet2!D:D,"Missing",0),200)</f>
        <v>200</v>
      </c>
      <c r="F128" s="9">
        <f>IFERROR(_xlfn.XLOOKUP(C128,Sheet2!B:B,Sheet2!E:E,"Missing",0),200)</f>
        <v>0</v>
      </c>
    </row>
    <row r="129" spans="1:6" x14ac:dyDescent="0.2">
      <c r="A129" s="6" t="s">
        <v>829</v>
      </c>
      <c r="B129" s="8" t="str" cm="1">
        <f t="array" ref="B129">INDEX(_xlfn.TEXTSPLIT(A129,","),1)</f>
        <v>jinx</v>
      </c>
      <c r="C129" s="10">
        <f>IFERROR(_xlfn.XLOOKUP(B129,Sheet2!A:A,Sheet2!B:B,"Missing",0),200)</f>
        <v>2.23681705</v>
      </c>
      <c r="D129" s="9">
        <f>IFERROR(_xlfn.XLOOKUP(B129,Sheet2!A:A,Sheet2!C:C,"Missing",0),200)</f>
        <v>0</v>
      </c>
      <c r="E129" s="9">
        <f>IFERROR(_xlfn.XLOOKUP(B129,Sheet2!A:A,Sheet2!D:D,"Missing",0),200)</f>
        <v>200</v>
      </c>
      <c r="F129" s="9">
        <f>IFERROR(_xlfn.XLOOKUP(C129,Sheet2!B:B,Sheet2!E:E,"Missing",0),200)</f>
        <v>0</v>
      </c>
    </row>
    <row r="130" spans="1:6" x14ac:dyDescent="0.2">
      <c r="A130" s="6" t="s">
        <v>738</v>
      </c>
      <c r="B130" s="8" t="str" cm="1">
        <f t="array" ref="B130">INDEX(_xlfn.TEXTSPLIT(A130,","),1)</f>
        <v>diaper</v>
      </c>
      <c r="C130" s="10">
        <f>IFERROR(_xlfn.XLOOKUP(B130,Sheet2!A:A,Sheet2!B:B,"Missing",0),200)</f>
        <v>2.20264028999999</v>
      </c>
      <c r="D130" s="9">
        <f>IFERROR(_xlfn.XLOOKUP(B130,Sheet2!A:A,Sheet2!C:C,"Missing",0),200)</f>
        <v>0</v>
      </c>
      <c r="E130" s="9">
        <f>IFERROR(_xlfn.XLOOKUP(B130,Sheet2!A:A,Sheet2!D:D,"Missing",0),200)</f>
        <v>200</v>
      </c>
      <c r="F130" s="9">
        <f>IFERROR(_xlfn.XLOOKUP(C130,Sheet2!B:B,Sheet2!E:E,"Missing",0),200)</f>
        <v>0</v>
      </c>
    </row>
    <row r="131" spans="1:6" x14ac:dyDescent="0.2">
      <c r="A131" s="6" t="s">
        <v>847</v>
      </c>
      <c r="B131" s="8" t="str" cm="1">
        <f t="array" ref="B131">INDEX(_xlfn.TEXTSPLIT(A131,","),1)</f>
        <v>neko</v>
      </c>
      <c r="C131" s="10">
        <f>IFERROR(_xlfn.XLOOKUP(B131,Sheet2!A:A,Sheet2!B:B,"Missing",0),200)</f>
        <v>1.47460615999999</v>
      </c>
      <c r="D131" s="9">
        <f>IFERROR(_xlfn.XLOOKUP(B131,Sheet2!A:A,Sheet2!C:C,"Missing",0),200)</f>
        <v>0</v>
      </c>
      <c r="E131" s="9">
        <f>IFERROR(_xlfn.XLOOKUP(B131,Sheet2!A:A,Sheet2!D:D,"Missing",0),200)</f>
        <v>200</v>
      </c>
      <c r="F131" s="9">
        <f>IFERROR(_xlfn.XLOOKUP(C131,Sheet2!B:B,Sheet2!E:E,"Missing",0),200)</f>
        <v>0</v>
      </c>
    </row>
    <row r="132" spans="1:6" x14ac:dyDescent="0.2">
      <c r="A132" s="6" t="s">
        <v>788</v>
      </c>
      <c r="B132" s="8" t="str" cm="1">
        <f t="array" ref="B132">INDEX(_xlfn.TEXTSPLIT(A132,","),1)</f>
        <v>zombie</v>
      </c>
      <c r="C132" s="10">
        <f>IFERROR(_xlfn.XLOOKUP(B132,Sheet2!A:A,Sheet2!B:B,"Missing",0),200)</f>
        <v>1.4398678699999901</v>
      </c>
      <c r="D132" s="9">
        <f>IFERROR(_xlfn.XLOOKUP(B132,Sheet2!A:A,Sheet2!C:C,"Missing",0),200)</f>
        <v>0</v>
      </c>
      <c r="E132" s="9">
        <f>IFERROR(_xlfn.XLOOKUP(B132,Sheet2!A:A,Sheet2!D:D,"Missing",0),200)</f>
        <v>200</v>
      </c>
      <c r="F132" s="9">
        <f>IFERROR(_xlfn.XLOOKUP(C132,Sheet2!B:B,Sheet2!E:E,"Missing",0),200)</f>
        <v>0</v>
      </c>
    </row>
    <row r="133" spans="1:6" x14ac:dyDescent="0.2">
      <c r="A133" s="6" t="s">
        <v>739</v>
      </c>
      <c r="B133" s="8" t="str" cm="1">
        <f t="array" ref="B133">INDEX(_xlfn.TEXTSPLIT(A133,","),1)</f>
        <v>ageplay</v>
      </c>
      <c r="C133" s="10">
        <f>IFERROR(_xlfn.XLOOKUP(B133,Sheet2!A:A,Sheet2!B:B,"Missing",0),200)</f>
        <v>1.43806992</v>
      </c>
      <c r="D133" s="9">
        <f>IFERROR(_xlfn.XLOOKUP(B133,Sheet2!A:A,Sheet2!C:C,"Missing",0),200)</f>
        <v>0</v>
      </c>
      <c r="E133" s="9">
        <f>IFERROR(_xlfn.XLOOKUP(B133,Sheet2!A:A,Sheet2!D:D,"Missing",0),200)</f>
        <v>200</v>
      </c>
      <c r="F133" s="9">
        <f>IFERROR(_xlfn.XLOOKUP(C133,Sheet2!B:B,Sheet2!E:E,"Missing",0),200)</f>
        <v>0</v>
      </c>
    </row>
    <row r="134" spans="1:6" x14ac:dyDescent="0.2">
      <c r="A134" s="6" t="s">
        <v>774</v>
      </c>
      <c r="B134" s="8" t="str" cm="1">
        <f t="array" ref="B134">INDEX(_xlfn.TEXTSPLIT(A134,","),1)</f>
        <v>mannequin</v>
      </c>
      <c r="C134" s="10">
        <f>IFERROR(_xlfn.XLOOKUP(B134,Sheet2!A:A,Sheet2!B:B,"Missing",0),200)</f>
        <v>1.0658826100000001</v>
      </c>
      <c r="D134" s="9">
        <f>IFERROR(_xlfn.XLOOKUP(B134,Sheet2!A:A,Sheet2!C:C,"Missing",0),200)</f>
        <v>0</v>
      </c>
      <c r="E134" s="9">
        <f>IFERROR(_xlfn.XLOOKUP(B134,Sheet2!A:A,Sheet2!D:D,"Missing",0),200)</f>
        <v>200</v>
      </c>
      <c r="F134" s="9">
        <f>IFERROR(_xlfn.XLOOKUP(C134,Sheet2!B:B,Sheet2!E:E,"Missing",0),200)</f>
        <v>0</v>
      </c>
    </row>
    <row r="135" spans="1:6" x14ac:dyDescent="0.2">
      <c r="A135" s="6" t="s">
        <v>826</v>
      </c>
      <c r="B135" s="8" t="str" cm="1">
        <f t="array" ref="B135">INDEX(_xlfn.TEXTSPLIT(A135,","),1)</f>
        <v>overwatch</v>
      </c>
      <c r="C135" s="10">
        <f>IFERROR(_xlfn.XLOOKUP(B135,Sheet2!A:A,Sheet2!B:B,"Missing",0),200)</f>
        <v>0.99363926999999996</v>
      </c>
      <c r="D135" s="9">
        <f>IFERROR(_xlfn.XLOOKUP(B135,Sheet2!A:A,Sheet2!C:C,"Missing",0),200)</f>
        <v>0</v>
      </c>
      <c r="E135" s="9">
        <f>IFERROR(_xlfn.XLOOKUP(B135,Sheet2!A:A,Sheet2!D:D,"Missing",0),200)</f>
        <v>200</v>
      </c>
      <c r="F135" s="9" t="s">
        <v>879</v>
      </c>
    </row>
    <row r="136" spans="1:6" x14ac:dyDescent="0.2">
      <c r="A136" s="6" t="s">
        <v>830</v>
      </c>
      <c r="B136" s="8" t="str" cm="1">
        <f t="array" ref="B136">INDEX(_xlfn.TEXTSPLIT(A136,","),1)</f>
        <v>zelda</v>
      </c>
      <c r="C136" s="10">
        <f>IFERROR(_xlfn.XLOOKUP(B136,Sheet2!A:A,Sheet2!B:B,"Missing",0),200)</f>
        <v>0.88769927999999998</v>
      </c>
      <c r="D136" s="9">
        <f>IFERROR(_xlfn.XLOOKUP(B136,Sheet2!A:A,Sheet2!C:C,"Missing",0),200)</f>
        <v>0</v>
      </c>
      <c r="E136" s="9">
        <f>IFERROR(_xlfn.XLOOKUP(B136,Sheet2!A:A,Sheet2!D:D,"Missing",0),200)</f>
        <v>200</v>
      </c>
      <c r="F136" s="9" t="s">
        <v>879</v>
      </c>
    </row>
    <row r="137" spans="1:6" x14ac:dyDescent="0.2">
      <c r="A137" s="6" t="s">
        <v>724</v>
      </c>
      <c r="B137" s="8" t="str" cm="1">
        <f t="array" ref="B137">INDEX(_xlfn.TEXTSPLIT(A137,","),1)</f>
        <v>trampling</v>
      </c>
      <c r="C137" s="10">
        <f>IFERROR(_xlfn.XLOOKUP(B137,Sheet2!A:A,Sheet2!B:B,"Missing",0),200)</f>
        <v>0.67057584000000003</v>
      </c>
      <c r="D137" s="9">
        <f>IFERROR(_xlfn.XLOOKUP(B137,Sheet2!A:A,Sheet2!C:C,"Missing",0),200)</f>
        <v>0</v>
      </c>
      <c r="E137" s="9">
        <f>IFERROR(_xlfn.XLOOKUP(B137,Sheet2!A:A,Sheet2!D:D,"Missing",0),200)</f>
        <v>200</v>
      </c>
      <c r="F137" s="9">
        <f>IFERROR(_xlfn.XLOOKUP(C137,Sheet2!B:B,Sheet2!E:E,"Missing",0),200)</f>
        <v>0</v>
      </c>
    </row>
    <row r="138" spans="1:6" x14ac:dyDescent="0.2">
      <c r="A138" s="6" t="s">
        <v>640</v>
      </c>
      <c r="B138" s="8" t="str" cm="1">
        <f t="array" ref="B138">INDEX(_xlfn.TEXTSPLIT(A138,","),1)</f>
        <v>Vtuber</v>
      </c>
      <c r="C138" s="10">
        <f>IFERROR(_xlfn.XLOOKUP(B138,Sheet2!A:A,Sheet2!B:B,"Missing",0),200)</f>
        <v>0.55054667999999995</v>
      </c>
      <c r="D138" s="9">
        <f>IFERROR(_xlfn.XLOOKUP(B138,Sheet2!A:A,Sheet2!C:C,"Missing",0),200)</f>
        <v>0</v>
      </c>
      <c r="E138" s="9">
        <f>IFERROR(_xlfn.XLOOKUP(B138,Sheet2!A:A,Sheet2!D:D,"Missing",0),200)</f>
        <v>200</v>
      </c>
      <c r="F138" s="9">
        <f>IFERROR(_xlfn.XLOOKUP(C138,Sheet2!B:B,Sheet2!E:E,"Missing",0),200)</f>
        <v>0</v>
      </c>
    </row>
    <row r="139" spans="1:6" x14ac:dyDescent="0.2">
      <c r="A139" s="6" t="s">
        <v>633</v>
      </c>
      <c r="B139" s="8" t="str" cm="1">
        <f t="array" ref="B139">INDEX(_xlfn.TEXTSPLIT(A139,","),1)</f>
        <v>Cowgirl</v>
      </c>
      <c r="C139" s="10">
        <f>IFERROR(_xlfn.XLOOKUP(B139,Sheet2!A:A,Sheet2!B:B,"Missing",0),200)</f>
        <v>200.798</v>
      </c>
      <c r="D139" s="9">
        <f>IFERROR(_xlfn.XLOOKUP(B139,Sheet2!A:A,Sheet2!C:C,"Missing",0),200)</f>
        <v>1</v>
      </c>
      <c r="E139" s="9">
        <f>IFERROR(_xlfn.XLOOKUP(B139,Sheet2!A:A,Sheet2!D:D,"Missing",0),200)</f>
        <v>200.798</v>
      </c>
      <c r="F139" s="9">
        <f>IFERROR(_xlfn.XLOOKUP(C139,Sheet2!B:B,Sheet2!E:E,"Missing",0),200)</f>
        <v>0</v>
      </c>
    </row>
    <row r="140" spans="1:6" x14ac:dyDescent="0.2">
      <c r="A140" s="6" t="s">
        <v>662</v>
      </c>
      <c r="B140" s="8" t="str" cm="1">
        <f t="array" ref="B140">INDEX(_xlfn.TEXTSPLIT(A140,","),1)</f>
        <v>ebony</v>
      </c>
      <c r="C140" s="10">
        <f>IFERROR(_xlfn.XLOOKUP(B140,Sheet2!A:A,Sheet2!B:B,"Missing",0),200)</f>
        <v>226.51599999999999</v>
      </c>
      <c r="D140" s="9">
        <f>IFERROR(_xlfn.XLOOKUP(B140,Sheet2!A:A,Sheet2!C:C,"Missing",0),200)</f>
        <v>1</v>
      </c>
      <c r="E140" s="9">
        <f>IFERROR(_xlfn.XLOOKUP(B140,Sheet2!A:A,Sheet2!D:D,"Missing",0),200)</f>
        <v>226.51599999999999</v>
      </c>
      <c r="F140" s="9">
        <f>IFERROR(_xlfn.XLOOKUP(C140,Sheet2!B:B,Sheet2!E:E,"Missing",0),200)</f>
        <v>0</v>
      </c>
    </row>
    <row r="141" spans="1:6" x14ac:dyDescent="0.2">
      <c r="A141" s="6" t="s">
        <v>639</v>
      </c>
      <c r="B141" s="8" t="str" cm="1">
        <f t="array" ref="B141">INDEX(_xlfn.TEXTSPLIT(A141,","),1)</f>
        <v>Free use</v>
      </c>
      <c r="C141" s="10" t="str">
        <f>IFERROR(_xlfn.XLOOKUP(B141,Sheet2!A:A,Sheet2!B:B,"Missing",0),200)</f>
        <v>Missing</v>
      </c>
      <c r="D141" s="9" t="str">
        <f>IFERROR(_xlfn.XLOOKUP(B141,Sheet2!A:A,Sheet2!C:C,"Missing",0),200)</f>
        <v>Missing</v>
      </c>
      <c r="E141" s="9" t="str">
        <f>IFERROR(_xlfn.XLOOKUP(B141,Sheet2!A:A,Sheet2!D:D,"Missing",0),200)</f>
        <v>Missing</v>
      </c>
      <c r="F141" s="9" t="str">
        <f>IFERROR(_xlfn.XLOOKUP(C141,Sheet2!B:B,Sheet2!E:E,"Missing",0),200)</f>
        <v>Missing</v>
      </c>
    </row>
    <row r="142" spans="1:6" x14ac:dyDescent="0.2">
      <c r="A142" s="6" t="s">
        <v>642</v>
      </c>
      <c r="B142" s="8" t="str" cm="1">
        <f t="array" ref="B142">INDEX(_xlfn.TEXTSPLIT(A142,","),1)</f>
        <v>Furry</v>
      </c>
      <c r="C142" s="10" t="str">
        <f>IFERROR(_xlfn.XLOOKUP(B142,Sheet2!A:A,Sheet2!B:B,"Missing",0),200)</f>
        <v>Missing</v>
      </c>
      <c r="D142" s="9" t="str">
        <f>IFERROR(_xlfn.XLOOKUP(B142,Sheet2!A:A,Sheet2!C:C,"Missing",0),200)</f>
        <v>Missing</v>
      </c>
      <c r="E142" s="9" t="str">
        <f>IFERROR(_xlfn.XLOOKUP(B142,Sheet2!A:A,Sheet2!D:D,"Missing",0),200)</f>
        <v>Missing</v>
      </c>
      <c r="F142" s="9" t="s">
        <v>879</v>
      </c>
    </row>
    <row r="143" spans="1:6" x14ac:dyDescent="0.2">
      <c r="A143" s="6" t="s">
        <v>646</v>
      </c>
      <c r="B143" s="8" t="str" cm="1">
        <f t="array" ref="B143">INDEX(_xlfn.TEXTSPLIT(A143,","),1)</f>
        <v>hentai</v>
      </c>
      <c r="C143" s="10" t="str">
        <f>IFERROR(_xlfn.XLOOKUP(B143,Sheet2!A:A,Sheet2!B:B,"Missing",0),200)</f>
        <v>Missing</v>
      </c>
      <c r="D143" s="9" t="str">
        <f>IFERROR(_xlfn.XLOOKUP(B143,Sheet2!A:A,Sheet2!C:C,"Missing",0),200)</f>
        <v>Missing</v>
      </c>
      <c r="E143" s="9" t="str">
        <f>IFERROR(_xlfn.XLOOKUP(B143,Sheet2!A:A,Sheet2!D:D,"Missing",0),200)</f>
        <v>Missing</v>
      </c>
      <c r="F143" s="9" t="str">
        <f>IFERROR(_xlfn.XLOOKUP(C143,Sheet2!B:B,Sheet2!E:E,"Missing",0),200)</f>
        <v>Missing</v>
      </c>
    </row>
    <row r="144" spans="1:6" x14ac:dyDescent="0.2">
      <c r="A144" s="6" t="s">
        <v>650</v>
      </c>
      <c r="B144" s="8" t="str" cm="1">
        <f t="array" ref="B144">INDEX(_xlfn.TEXTSPLIT(A144,","),1)</f>
        <v>anal</v>
      </c>
      <c r="C144" s="10" t="str">
        <f>IFERROR(_xlfn.XLOOKUP(B144,Sheet2!A:A,Sheet2!B:B,"Missing",0),200)</f>
        <v>Missing</v>
      </c>
      <c r="D144" s="9" t="str">
        <f>IFERROR(_xlfn.XLOOKUP(B144,Sheet2!A:A,Sheet2!C:C,"Missing",0),200)</f>
        <v>Missing</v>
      </c>
      <c r="E144" s="9" t="str">
        <f>IFERROR(_xlfn.XLOOKUP(B144,Sheet2!A:A,Sheet2!D:D,"Missing",0),200)</f>
        <v>Missing</v>
      </c>
      <c r="F144" s="9" t="str">
        <f>IFERROR(_xlfn.XLOOKUP(C144,Sheet2!B:B,Sheet2!E:E,"Missing",0),200)</f>
        <v>Missing</v>
      </c>
    </row>
    <row r="145" spans="1:6" x14ac:dyDescent="0.2">
      <c r="A145" s="6" t="s">
        <v>651</v>
      </c>
      <c r="B145" s="8" t="str" cm="1">
        <f t="array" ref="B145">INDEX(_xlfn.TEXTSPLIT(A145,","),1)</f>
        <v>big ass</v>
      </c>
      <c r="C145" s="10" t="str">
        <f>IFERROR(_xlfn.XLOOKUP(B145,Sheet2!A:A,Sheet2!B:B,"Missing",0),200)</f>
        <v>Missing</v>
      </c>
      <c r="D145" s="9" t="str">
        <f>IFERROR(_xlfn.XLOOKUP(B145,Sheet2!A:A,Sheet2!C:C,"Missing",0),200)</f>
        <v>Missing</v>
      </c>
      <c r="E145" s="9" t="str">
        <f>IFERROR(_xlfn.XLOOKUP(B145,Sheet2!A:A,Sheet2!D:D,"Missing",0),200)</f>
        <v>Missing</v>
      </c>
      <c r="F145" s="9" t="str">
        <f>IFERROR(_xlfn.XLOOKUP(C145,Sheet2!B:B,Sheet2!E:E,"Missing",0),200)</f>
        <v>Missing</v>
      </c>
    </row>
    <row r="146" spans="1:6" x14ac:dyDescent="0.2">
      <c r="A146" s="6" t="s">
        <v>652</v>
      </c>
      <c r="B146" s="8" t="str" cm="1">
        <f t="array" ref="B146">INDEX(_xlfn.TEXTSPLIT(A146,","),1)</f>
        <v>anime</v>
      </c>
      <c r="C146" s="10" t="str">
        <f>IFERROR(_xlfn.XLOOKUP(B146,Sheet2!A:A,Sheet2!B:B,"Missing",0),200)</f>
        <v>Missing</v>
      </c>
      <c r="D146" s="9" t="str">
        <f>IFERROR(_xlfn.XLOOKUP(B146,Sheet2!A:A,Sheet2!C:C,"Missing",0),200)</f>
        <v>Missing</v>
      </c>
      <c r="E146" s="9" t="str">
        <f>IFERROR(_xlfn.XLOOKUP(B146,Sheet2!A:A,Sheet2!D:D,"Missing",0),200)</f>
        <v>Missing</v>
      </c>
      <c r="F146" s="9" t="str">
        <f>IFERROR(_xlfn.XLOOKUP(C146,Sheet2!B:B,Sheet2!E:E,"Missing",0),200)</f>
        <v>Missing</v>
      </c>
    </row>
    <row r="147" spans="1:6" x14ac:dyDescent="0.2">
      <c r="A147" s="6" t="s">
        <v>654</v>
      </c>
      <c r="B147" s="8" t="str" cm="1">
        <f t="array" ref="B147">INDEX(_xlfn.TEXTSPLIT(A147,","),1)</f>
        <v>latina</v>
      </c>
      <c r="C147" s="10" t="str">
        <f>IFERROR(_xlfn.XLOOKUP(B147,Sheet2!A:A,Sheet2!B:B,"Missing",0),200)</f>
        <v>Missing</v>
      </c>
      <c r="D147" s="9" t="str">
        <f>IFERROR(_xlfn.XLOOKUP(B147,Sheet2!A:A,Sheet2!C:C,"Missing",0),200)</f>
        <v>Missing</v>
      </c>
      <c r="E147" s="9" t="str">
        <f>IFERROR(_xlfn.XLOOKUP(B147,Sheet2!A:A,Sheet2!D:D,"Missing",0),200)</f>
        <v>Missing</v>
      </c>
      <c r="F147" s="9" t="str">
        <f>IFERROR(_xlfn.XLOOKUP(C147,Sheet2!B:B,Sheet2!E:E,"Missing",0),200)</f>
        <v>Missing</v>
      </c>
    </row>
    <row r="148" spans="1:6" x14ac:dyDescent="0.2">
      <c r="A148" s="6" t="s">
        <v>659</v>
      </c>
      <c r="B148" s="8" t="str" cm="1">
        <f t="array" ref="B148">INDEX(_xlfn.TEXTSPLIT(A148,","),1)</f>
        <v>animation</v>
      </c>
      <c r="C148" s="10" t="str">
        <f>IFERROR(_xlfn.XLOOKUP(B148,Sheet2!A:A,Sheet2!B:B,"Missing",0),200)</f>
        <v>Missing</v>
      </c>
      <c r="D148" s="9" t="str">
        <f>IFERROR(_xlfn.XLOOKUP(B148,Sheet2!A:A,Sheet2!C:C,"Missing",0),200)</f>
        <v>Missing</v>
      </c>
      <c r="E148" s="9" t="str">
        <f>IFERROR(_xlfn.XLOOKUP(B148,Sheet2!A:A,Sheet2!D:D,"Missing",0),200)</f>
        <v>Missing</v>
      </c>
      <c r="F148" s="9" t="str">
        <f>IFERROR(_xlfn.XLOOKUP(C148,Sheet2!B:B,Sheet2!E:E,"Missing",0),200)</f>
        <v>Missing</v>
      </c>
    </row>
    <row r="149" spans="1:6" x14ac:dyDescent="0.2">
      <c r="A149" s="6" t="s">
        <v>660</v>
      </c>
      <c r="B149" s="8" t="str" cm="1">
        <f t="array" ref="B149">INDEX(_xlfn.TEXTSPLIT(A149,","),1)</f>
        <v>big tits</v>
      </c>
      <c r="C149" s="10" t="str">
        <f>IFERROR(_xlfn.XLOOKUP(B149,Sheet2!A:A,Sheet2!B:B,"Missing",0),200)</f>
        <v>Missing</v>
      </c>
      <c r="D149" s="9" t="str">
        <f>IFERROR(_xlfn.XLOOKUP(B149,Sheet2!A:A,Sheet2!C:C,"Missing",0),200)</f>
        <v>Missing</v>
      </c>
      <c r="E149" s="9" t="str">
        <f>IFERROR(_xlfn.XLOOKUP(B149,Sheet2!A:A,Sheet2!D:D,"Missing",0),200)</f>
        <v>Missing</v>
      </c>
      <c r="F149" s="9" t="str">
        <f>IFERROR(_xlfn.XLOOKUP(C149,Sheet2!B:B,Sheet2!E:E,"Missing",0),200)</f>
        <v>Missing</v>
      </c>
    </row>
    <row r="150" spans="1:6" x14ac:dyDescent="0.2">
      <c r="A150" s="6" t="s">
        <v>663</v>
      </c>
      <c r="B150" s="8" t="str" cm="1">
        <f t="array" ref="B150">INDEX(_xlfn.TEXTSPLIT(A150,","),1)</f>
        <v>blowjob</v>
      </c>
      <c r="C150" s="10" t="str">
        <f>IFERROR(_xlfn.XLOOKUP(B150,Sheet2!A:A,Sheet2!B:B,"Missing",0),200)</f>
        <v>Missing</v>
      </c>
      <c r="D150" s="9" t="str">
        <f>IFERROR(_xlfn.XLOOKUP(B150,Sheet2!A:A,Sheet2!C:C,"Missing",0),200)</f>
        <v>Missing</v>
      </c>
      <c r="E150" s="9" t="str">
        <f>IFERROR(_xlfn.XLOOKUP(B150,Sheet2!A:A,Sheet2!D:D,"Missing",0),200)</f>
        <v>Missing</v>
      </c>
      <c r="F150" s="9" t="str">
        <f>IFERROR(_xlfn.XLOOKUP(C150,Sheet2!B:B,Sheet2!E:E,"Missing",0),200)</f>
        <v>Missing</v>
      </c>
    </row>
    <row r="151" spans="1:6" x14ac:dyDescent="0.2">
      <c r="A151" s="6" t="s">
        <v>668</v>
      </c>
      <c r="B151" s="8" t="str" cm="1">
        <f t="array" ref="B151">INDEX(_xlfn.TEXTSPLIT(A151,","),1)</f>
        <v>3d</v>
      </c>
      <c r="C151" s="10" t="str">
        <f>IFERROR(_xlfn.XLOOKUP(B151,Sheet2!A:A,Sheet2!B:B,"Missing",0),200)</f>
        <v>Missing</v>
      </c>
      <c r="D151" s="9" t="str">
        <f>IFERROR(_xlfn.XLOOKUP(B151,Sheet2!A:A,Sheet2!C:C,"Missing",0),200)</f>
        <v>Missing</v>
      </c>
      <c r="E151" s="9" t="str">
        <f>IFERROR(_xlfn.XLOOKUP(B151,Sheet2!A:A,Sheet2!D:D,"Missing",0),200)</f>
        <v>Missing</v>
      </c>
      <c r="F151" s="9" t="str">
        <f>IFERROR(_xlfn.XLOOKUP(C151,Sheet2!B:B,Sheet2!E:E,"Missing",0),200)</f>
        <v>Missing</v>
      </c>
    </row>
    <row r="152" spans="1:6" x14ac:dyDescent="0.2">
      <c r="A152" s="6" t="s">
        <v>670</v>
      </c>
      <c r="B152" s="8" t="str" cm="1">
        <f t="array" ref="B152">INDEX(_xlfn.TEXTSPLIT(A152,","),1)</f>
        <v>real amateur</v>
      </c>
      <c r="C152" s="10" t="str">
        <f>IFERROR(_xlfn.XLOOKUP(B152,Sheet2!A:A,Sheet2!B:B,"Missing",0),200)</f>
        <v>Missing</v>
      </c>
      <c r="D152" s="9" t="str">
        <f>IFERROR(_xlfn.XLOOKUP(B152,Sheet2!A:A,Sheet2!C:C,"Missing",0),200)</f>
        <v>Missing</v>
      </c>
      <c r="E152" s="9" t="str">
        <f>IFERROR(_xlfn.XLOOKUP(B152,Sheet2!A:A,Sheet2!D:D,"Missing",0),200)</f>
        <v>Missing</v>
      </c>
      <c r="F152" s="9" t="str">
        <f>IFERROR(_xlfn.XLOOKUP(C152,Sheet2!B:B,Sheet2!E:E,"Missing",0),200)</f>
        <v>Missing</v>
      </c>
    </row>
    <row r="153" spans="1:6" x14ac:dyDescent="0.2">
      <c r="A153" s="6" t="s">
        <v>674</v>
      </c>
      <c r="B153" s="8" t="str" cm="1">
        <f t="array" ref="B153">INDEX(_xlfn.TEXTSPLIT(A153,","),1)</f>
        <v>cartoon</v>
      </c>
      <c r="C153" s="10" t="str">
        <f>IFERROR(_xlfn.XLOOKUP(B153,Sheet2!A:A,Sheet2!B:B,"Missing",0),200)</f>
        <v>Missing</v>
      </c>
      <c r="D153" s="9" t="str">
        <f>IFERROR(_xlfn.XLOOKUP(B153,Sheet2!A:A,Sheet2!C:C,"Missing",0),200)</f>
        <v>Missing</v>
      </c>
      <c r="E153" s="9" t="str">
        <f>IFERROR(_xlfn.XLOOKUP(B153,Sheet2!A:A,Sheet2!D:D,"Missing",0),200)</f>
        <v>Missing</v>
      </c>
      <c r="F153" s="9" t="str">
        <f>IFERROR(_xlfn.XLOOKUP(C153,Sheet2!B:B,Sheet2!E:E,"Missing",0),200)</f>
        <v>Missing</v>
      </c>
    </row>
    <row r="154" spans="1:6" x14ac:dyDescent="0.2">
      <c r="A154" s="6" t="s">
        <v>677</v>
      </c>
      <c r="B154" s="8" t="str" cm="1">
        <f t="array" ref="B154">INDEX(_xlfn.TEXTSPLIT(A154,","),1)</f>
        <v>latina milf</v>
      </c>
      <c r="C154" s="10" t="str">
        <f>IFERROR(_xlfn.XLOOKUP(B154,Sheet2!A:A,Sheet2!B:B,"Missing",0),200)</f>
        <v>Missing</v>
      </c>
      <c r="D154" s="9" t="str">
        <f>IFERROR(_xlfn.XLOOKUP(B154,Sheet2!A:A,Sheet2!C:C,"Missing",0),200)</f>
        <v>Missing</v>
      </c>
      <c r="E154" s="9" t="str">
        <f>IFERROR(_xlfn.XLOOKUP(B154,Sheet2!A:A,Sheet2!D:D,"Missing",0),200)</f>
        <v>Missing</v>
      </c>
      <c r="F154" s="9" t="str">
        <f>IFERROR(_xlfn.XLOOKUP(C154,Sheet2!B:B,Sheet2!E:E,"Missing",0),200)</f>
        <v>Missing</v>
      </c>
    </row>
    <row r="155" spans="1:6" x14ac:dyDescent="0.2">
      <c r="A155" s="6" t="s">
        <v>688</v>
      </c>
      <c r="B155" s="8" t="str" cm="1">
        <f t="array" ref="B155">INDEX(_xlfn.TEXTSPLIT(A155,","),1)</f>
        <v>cream pie</v>
      </c>
      <c r="C155" s="10" t="str">
        <f>IFERROR(_xlfn.XLOOKUP(B155,Sheet2!A:A,Sheet2!B:B,"Missing",0),200)</f>
        <v>Missing</v>
      </c>
      <c r="D155" s="9" t="str">
        <f>IFERROR(_xlfn.XLOOKUP(B155,Sheet2!A:A,Sheet2!C:C,"Missing",0),200)</f>
        <v>Missing</v>
      </c>
      <c r="E155" s="9" t="str">
        <f>IFERROR(_xlfn.XLOOKUP(B155,Sheet2!A:A,Sheet2!D:D,"Missing",0),200)</f>
        <v>Missing</v>
      </c>
      <c r="F155" s="9" t="str">
        <f>IFERROR(_xlfn.XLOOKUP(C155,Sheet2!B:B,Sheet2!E:E,"Missing",0),200)</f>
        <v>Missing</v>
      </c>
    </row>
    <row r="156" spans="1:6" x14ac:dyDescent="0.2">
      <c r="A156" s="6" t="s">
        <v>698</v>
      </c>
      <c r="B156" s="8" t="str" cm="1">
        <f t="array" ref="B156">INDEX(_xlfn.TEXTSPLIT(A156,","),1)</f>
        <v>orgasm</v>
      </c>
      <c r="C156" s="10" t="str">
        <f>IFERROR(_xlfn.XLOOKUP(B156,Sheet2!A:A,Sheet2!B:B,"Missing",0),200)</f>
        <v>Missing</v>
      </c>
      <c r="D156" s="9" t="str">
        <f>IFERROR(_xlfn.XLOOKUP(B156,Sheet2!A:A,Sheet2!C:C,"Missing",0),200)</f>
        <v>Missing</v>
      </c>
      <c r="E156" s="9" t="str">
        <f>IFERROR(_xlfn.XLOOKUP(B156,Sheet2!A:A,Sheet2!D:D,"Missing",0),200)</f>
        <v>Missing</v>
      </c>
      <c r="F156" s="9" t="str">
        <f>IFERROR(_xlfn.XLOOKUP(C156,Sheet2!B:B,Sheet2!E:E,"Missing",0),200)</f>
        <v>Missing</v>
      </c>
    </row>
    <row r="157" spans="1:6" x14ac:dyDescent="0.2">
      <c r="A157" s="6" t="s">
        <v>726</v>
      </c>
      <c r="B157" s="8" t="str" cm="1">
        <f t="array" ref="B157">INDEX(_xlfn.TEXTSPLIT(A157,","),1)</f>
        <v>tentacle</v>
      </c>
      <c r="C157" s="10" t="str">
        <f>IFERROR(_xlfn.XLOOKUP(B157,Sheet2!A:A,Sheet2!B:B,"Missing",0),200)</f>
        <v>Missing</v>
      </c>
      <c r="D157" s="9" t="str">
        <f>IFERROR(_xlfn.XLOOKUP(B157,Sheet2!A:A,Sheet2!C:C,"Missing",0),200)</f>
        <v>Missing</v>
      </c>
      <c r="E157" s="9" t="str">
        <f>IFERROR(_xlfn.XLOOKUP(B157,Sheet2!A:A,Sheet2!D:D,"Missing",0),200)</f>
        <v>Missing</v>
      </c>
      <c r="F157" s="9" t="s">
        <v>879</v>
      </c>
    </row>
    <row r="158" spans="1:6" x14ac:dyDescent="0.2">
      <c r="A158" s="6" t="s">
        <v>735</v>
      </c>
      <c r="B158" s="8" t="str" cm="1">
        <f t="array" ref="B158">INDEX(_xlfn.TEXTSPLIT(A158,","),1)</f>
        <v>mom-son</v>
      </c>
      <c r="C158" s="10" t="str">
        <f>IFERROR(_xlfn.XLOOKUP(B158,Sheet2!A:A,Sheet2!B:B,"Missing",0),200)</f>
        <v>Missing</v>
      </c>
      <c r="D158" s="9" t="str">
        <f>IFERROR(_xlfn.XLOOKUP(B158,Sheet2!A:A,Sheet2!C:C,"Missing",0),200)</f>
        <v>Missing</v>
      </c>
      <c r="E158" s="9" t="str">
        <f>IFERROR(_xlfn.XLOOKUP(B158,Sheet2!A:A,Sheet2!D:D,"Missing",0),200)</f>
        <v>Missing</v>
      </c>
      <c r="F158" s="9" t="str">
        <f>IFERROR(_xlfn.XLOOKUP(C158,Sheet2!B:B,Sheet2!E:E,"Missing",0),200)</f>
        <v>Missing</v>
      </c>
    </row>
    <row r="159" spans="1:6" x14ac:dyDescent="0.2">
      <c r="A159" s="6" t="s">
        <v>736</v>
      </c>
      <c r="B159" s="8" t="str" cm="1">
        <f t="array" ref="B159">INDEX(_xlfn.TEXTSPLIT(A159,","),1)</f>
        <v>dad-daughter</v>
      </c>
      <c r="C159" s="10" t="str">
        <f>IFERROR(_xlfn.XLOOKUP(B159,Sheet2!A:A,Sheet2!B:B,"Missing",0),200)</f>
        <v>Missing</v>
      </c>
      <c r="D159" s="9" t="str">
        <f>IFERROR(_xlfn.XLOOKUP(B159,Sheet2!A:A,Sheet2!C:C,"Missing",0),200)</f>
        <v>Missing</v>
      </c>
      <c r="E159" s="9" t="str">
        <f>IFERROR(_xlfn.XLOOKUP(B159,Sheet2!A:A,Sheet2!D:D,"Missing",0),200)</f>
        <v>Missing</v>
      </c>
      <c r="F159" s="9" t="str">
        <f>IFERROR(_xlfn.XLOOKUP(C159,Sheet2!B:B,Sheet2!E:E,"Missing",0),200)</f>
        <v>Missing</v>
      </c>
    </row>
    <row r="160" spans="1:6" x14ac:dyDescent="0.2">
      <c r="A160" s="6" t="s">
        <v>737</v>
      </c>
      <c r="B160" s="8" t="str" cm="1">
        <f t="array" ref="B160">INDEX(_xlfn.TEXTSPLIT(A160,","),1)</f>
        <v>incest</v>
      </c>
      <c r="C160" s="10" t="str">
        <f>IFERROR(_xlfn.XLOOKUP(B160,Sheet2!A:A,Sheet2!B:B,"Missing",0),200)</f>
        <v>Missing</v>
      </c>
      <c r="D160" s="9" t="str">
        <f>IFERROR(_xlfn.XLOOKUP(B160,Sheet2!A:A,Sheet2!C:C,"Missing",0),200)</f>
        <v>Missing</v>
      </c>
      <c r="E160" s="9" t="str">
        <f>IFERROR(_xlfn.XLOOKUP(B160,Sheet2!A:A,Sheet2!D:D,"Missing",0),200)</f>
        <v>Missing</v>
      </c>
      <c r="F160" s="9" t="str">
        <f>IFERROR(_xlfn.XLOOKUP(C160,Sheet2!B:B,Sheet2!E:E,"Missing",0),200)</f>
        <v>Missing</v>
      </c>
    </row>
    <row r="161" spans="1:6" x14ac:dyDescent="0.2">
      <c r="A161" s="6" t="s">
        <v>744</v>
      </c>
      <c r="B161" s="8" t="str" cm="1">
        <f t="array" ref="B161">INDEX(_xlfn.TEXTSPLIT(A161,","),1)</f>
        <v>asphyxiation</v>
      </c>
      <c r="C161" s="10" t="str">
        <f>IFERROR(_xlfn.XLOOKUP(B161,Sheet2!A:A,Sheet2!B:B,"Missing",0),200)</f>
        <v>Missing</v>
      </c>
      <c r="D161" s="9" t="str">
        <f>IFERROR(_xlfn.XLOOKUP(B161,Sheet2!A:A,Sheet2!C:C,"Missing",0),200)</f>
        <v>Missing</v>
      </c>
      <c r="E161" s="9" t="str">
        <f>IFERROR(_xlfn.XLOOKUP(B161,Sheet2!A:A,Sheet2!D:D,"Missing",0),200)</f>
        <v>Missing</v>
      </c>
      <c r="F161" s="9" t="str">
        <f>IFERROR(_xlfn.XLOOKUP(C161,Sheet2!B:B,Sheet2!E:E,"Missing",0),200)</f>
        <v>Missing</v>
      </c>
    </row>
    <row r="162" spans="1:6" x14ac:dyDescent="0.2">
      <c r="A162" s="6" t="s">
        <v>745</v>
      </c>
      <c r="B162" s="8" t="str" cm="1">
        <f t="array" ref="B162">INDEX(_xlfn.TEXTSPLIT(A162,","),1)</f>
        <v>choking</v>
      </c>
      <c r="C162" s="10" t="str">
        <f>IFERROR(_xlfn.XLOOKUP(B162,Sheet2!A:A,Sheet2!B:B,"Missing",0),200)</f>
        <v>Missing</v>
      </c>
      <c r="D162" s="9" t="str">
        <f>IFERROR(_xlfn.XLOOKUP(B162,Sheet2!A:A,Sheet2!C:C,"Missing",0),200)</f>
        <v>Missing</v>
      </c>
      <c r="E162" s="9" t="str">
        <f>IFERROR(_xlfn.XLOOKUP(B162,Sheet2!A:A,Sheet2!D:D,"Missing",0),200)</f>
        <v>Missing</v>
      </c>
      <c r="F162" s="9" t="str">
        <f>IFERROR(_xlfn.XLOOKUP(C162,Sheet2!B:B,Sheet2!E:E,"Missing",0),200)</f>
        <v>Missing</v>
      </c>
    </row>
    <row r="163" spans="1:6" x14ac:dyDescent="0.2">
      <c r="A163" s="6" t="s">
        <v>752</v>
      </c>
      <c r="B163" s="8" t="str" cm="1">
        <f t="array" ref="B163">INDEX(_xlfn.TEXTSPLIT(A163,","),1)</f>
        <v>ass worship</v>
      </c>
      <c r="C163" s="10" t="str">
        <f>IFERROR(_xlfn.XLOOKUP(B163,Sheet2!A:A,Sheet2!B:B,"Missing",0),200)</f>
        <v>Missing</v>
      </c>
      <c r="D163" s="9" t="str">
        <f>IFERROR(_xlfn.XLOOKUP(B163,Sheet2!A:A,Sheet2!C:C,"Missing",0),200)</f>
        <v>Missing</v>
      </c>
      <c r="E163" s="9" t="str">
        <f>IFERROR(_xlfn.XLOOKUP(B163,Sheet2!A:A,Sheet2!D:D,"Missing",0),200)</f>
        <v>Missing</v>
      </c>
      <c r="F163" s="9" t="str">
        <f>IFERROR(_xlfn.XLOOKUP(C163,Sheet2!B:B,Sheet2!E:E,"Missing",0),200)</f>
        <v>Missing</v>
      </c>
    </row>
    <row r="164" spans="1:6" x14ac:dyDescent="0.2">
      <c r="A164" s="6" t="s">
        <v>756</v>
      </c>
      <c r="B164" s="8" t="str" cm="1">
        <f t="array" ref="B164">INDEX(_xlfn.TEXTSPLIT(A164,","),1)</f>
        <v>wetlook</v>
      </c>
      <c r="C164" s="10" t="str">
        <f>IFERROR(_xlfn.XLOOKUP(B164,Sheet2!A:A,Sheet2!B:B,"Missing",0),200)</f>
        <v>Missing</v>
      </c>
      <c r="D164" s="9" t="str">
        <f>IFERROR(_xlfn.XLOOKUP(B164,Sheet2!A:A,Sheet2!C:C,"Missing",0),200)</f>
        <v>Missing</v>
      </c>
      <c r="E164" s="9" t="str">
        <f>IFERROR(_xlfn.XLOOKUP(B164,Sheet2!A:A,Sheet2!D:D,"Missing",0),200)</f>
        <v>Missing</v>
      </c>
      <c r="F164" s="9" t="str">
        <f>IFERROR(_xlfn.XLOOKUP(C164,Sheet2!B:B,Sheet2!E:E,"Missing",0),200)</f>
        <v>Missing</v>
      </c>
    </row>
    <row r="165" spans="1:6" x14ac:dyDescent="0.2">
      <c r="A165" s="6" t="s">
        <v>764</v>
      </c>
      <c r="B165" s="8" t="str" cm="1">
        <f t="array" ref="B165">INDEX(_xlfn.TEXTSPLIT(A165,","),1)</f>
        <v>shrinking</v>
      </c>
      <c r="C165" s="10" t="str">
        <f>IFERROR(_xlfn.XLOOKUP(B165,Sheet2!A:A,Sheet2!B:B,"Missing",0),200)</f>
        <v>Missing</v>
      </c>
      <c r="D165" s="9" t="str">
        <f>IFERROR(_xlfn.XLOOKUP(B165,Sheet2!A:A,Sheet2!C:C,"Missing",0),200)</f>
        <v>Missing</v>
      </c>
      <c r="E165" s="9" t="str">
        <f>IFERROR(_xlfn.XLOOKUP(B165,Sheet2!A:A,Sheet2!D:D,"Missing",0),200)</f>
        <v>Missing</v>
      </c>
      <c r="F165" s="9" t="s">
        <v>879</v>
      </c>
    </row>
    <row r="166" spans="1:6" x14ac:dyDescent="0.2">
      <c r="A166" s="6" t="s">
        <v>770</v>
      </c>
      <c r="B166" s="8" t="str" cm="1">
        <f t="array" ref="B166">INDEX(_xlfn.TEXTSPLIT(A166,","),1)</f>
        <v>horny gamer</v>
      </c>
      <c r="C166" s="10" t="str">
        <f>IFERROR(_xlfn.XLOOKUP(B166,Sheet2!A:A,Sheet2!B:B,"Missing",0),200)</f>
        <v>Missing</v>
      </c>
      <c r="D166" s="9" t="str">
        <f>IFERROR(_xlfn.XLOOKUP(B166,Sheet2!A:A,Sheet2!C:C,"Missing",0),200)</f>
        <v>Missing</v>
      </c>
      <c r="E166" s="9" t="str">
        <f>IFERROR(_xlfn.XLOOKUP(B166,Sheet2!A:A,Sheet2!D:D,"Missing",0),200)</f>
        <v>Missing</v>
      </c>
      <c r="F166" s="9" t="s">
        <v>879</v>
      </c>
    </row>
    <row r="167" spans="1:6" x14ac:dyDescent="0.2">
      <c r="A167" s="6" t="s">
        <v>771</v>
      </c>
      <c r="B167" s="8" t="str" cm="1">
        <f t="array" ref="B167">INDEX(_xlfn.TEXTSPLIT(A167,","),1)</f>
        <v>eyewear</v>
      </c>
      <c r="C167" s="10" t="str">
        <f>IFERROR(_xlfn.XLOOKUP(B167,Sheet2!A:A,Sheet2!B:B,"Missing",0),200)</f>
        <v>Missing</v>
      </c>
      <c r="D167" s="9" t="str">
        <f>IFERROR(_xlfn.XLOOKUP(B167,Sheet2!A:A,Sheet2!C:C,"Missing",0),200)</f>
        <v>Missing</v>
      </c>
      <c r="E167" s="9" t="str">
        <f>IFERROR(_xlfn.XLOOKUP(B167,Sheet2!A:A,Sheet2!D:D,"Missing",0),200)</f>
        <v>Missing</v>
      </c>
      <c r="F167" s="9" t="str">
        <f>IFERROR(_xlfn.XLOOKUP(C167,Sheet2!B:B,Sheet2!E:E,"Missing",0),200)</f>
        <v>Missing</v>
      </c>
    </row>
    <row r="168" spans="1:6" x14ac:dyDescent="0.2">
      <c r="A168" s="6" t="s">
        <v>775</v>
      </c>
      <c r="B168" s="8" t="str" cm="1">
        <f t="array" ref="B168">INDEX(_xlfn.TEXTSPLIT(A168,","),1)</f>
        <v>public kink</v>
      </c>
      <c r="C168" s="10" t="str">
        <f>IFERROR(_xlfn.XLOOKUP(B168,Sheet2!A:A,Sheet2!B:B,"Missing",0),200)</f>
        <v>Missing</v>
      </c>
      <c r="D168" s="9" t="str">
        <f>IFERROR(_xlfn.XLOOKUP(B168,Sheet2!A:A,Sheet2!C:C,"Missing",0),200)</f>
        <v>Missing</v>
      </c>
      <c r="E168" s="9" t="str">
        <f>IFERROR(_xlfn.XLOOKUP(B168,Sheet2!A:A,Sheet2!D:D,"Missing",0),200)</f>
        <v>Missing</v>
      </c>
      <c r="F168" s="9" t="str">
        <f>IFERROR(_xlfn.XLOOKUP(C168,Sheet2!B:B,Sheet2!E:E,"Missing",0),200)</f>
        <v>Missing</v>
      </c>
    </row>
    <row r="169" spans="1:6" x14ac:dyDescent="0.2">
      <c r="A169" s="6" t="s">
        <v>777</v>
      </c>
      <c r="B169" s="8" t="str" cm="1">
        <f t="array" ref="B169">INDEX(_xlfn.TEXTSPLIT(A169,","),1)</f>
        <v>tranny cosplay</v>
      </c>
      <c r="C169" s="10" t="str">
        <f>IFERROR(_xlfn.XLOOKUP(B169,Sheet2!A:A,Sheet2!B:B,"Missing",0),200)</f>
        <v>Missing</v>
      </c>
      <c r="D169" s="9" t="str">
        <f>IFERROR(_xlfn.XLOOKUP(B169,Sheet2!A:A,Sheet2!C:C,"Missing",0),200)</f>
        <v>Missing</v>
      </c>
      <c r="E169" s="9" t="str">
        <f>IFERROR(_xlfn.XLOOKUP(B169,Sheet2!A:A,Sheet2!D:D,"Missing",0),200)</f>
        <v>Missing</v>
      </c>
      <c r="F169" s="9" t="str">
        <f>IFERROR(_xlfn.XLOOKUP(C169,Sheet2!B:B,Sheet2!E:E,"Missing",0),200)</f>
        <v>Missing</v>
      </c>
    </row>
    <row r="170" spans="1:6" x14ac:dyDescent="0.2">
      <c r="A170" s="6" t="s">
        <v>778</v>
      </c>
      <c r="B170" s="8" t="str" cm="1">
        <f t="array" ref="B170">INDEX(_xlfn.TEXTSPLIT(A170,","),1)</f>
        <v>maid cosplay</v>
      </c>
      <c r="C170" s="10" t="str">
        <f>IFERROR(_xlfn.XLOOKUP(B170,Sheet2!A:A,Sheet2!B:B,"Missing",0),200)</f>
        <v>Missing</v>
      </c>
      <c r="D170" s="9" t="str">
        <f>IFERROR(_xlfn.XLOOKUP(B170,Sheet2!A:A,Sheet2!C:C,"Missing",0),200)</f>
        <v>Missing</v>
      </c>
      <c r="E170" s="9" t="str">
        <f>IFERROR(_xlfn.XLOOKUP(B170,Sheet2!A:A,Sheet2!D:D,"Missing",0),200)</f>
        <v>Missing</v>
      </c>
      <c r="F170" s="9" t="s">
        <v>879</v>
      </c>
    </row>
    <row r="171" spans="1:6" x14ac:dyDescent="0.2">
      <c r="A171" s="6" t="s">
        <v>779</v>
      </c>
      <c r="B171" s="8" t="str" cm="1">
        <f t="array" ref="B171">INDEX(_xlfn.TEXTSPLIT(A171,","),1)</f>
        <v>gender swap</v>
      </c>
      <c r="C171" s="10" t="str">
        <f>IFERROR(_xlfn.XLOOKUP(B171,Sheet2!A:A,Sheet2!B:B,"Missing",0),200)</f>
        <v>Missing</v>
      </c>
      <c r="D171" s="9" t="str">
        <f>IFERROR(_xlfn.XLOOKUP(B171,Sheet2!A:A,Sheet2!C:C,"Missing",0),200)</f>
        <v>Missing</v>
      </c>
      <c r="E171" s="9" t="str">
        <f>IFERROR(_xlfn.XLOOKUP(B171,Sheet2!A:A,Sheet2!D:D,"Missing",0),200)</f>
        <v>Missing</v>
      </c>
      <c r="F171" s="9" t="str">
        <f>IFERROR(_xlfn.XLOOKUP(C171,Sheet2!B:B,Sheet2!E:E,"Missing",0),200)</f>
        <v>Missing</v>
      </c>
    </row>
    <row r="172" spans="1:6" x14ac:dyDescent="0.2">
      <c r="A172" s="6" t="s">
        <v>790</v>
      </c>
      <c r="B172" s="8" t="str" cm="1">
        <f t="array" ref="B172">INDEX(_xlfn.TEXTSPLIT(A172,","),1)</f>
        <v>pokemon</v>
      </c>
      <c r="C172" s="10" t="str">
        <f>IFERROR(_xlfn.XLOOKUP(B172,Sheet2!A:A,Sheet2!B:B,"Missing",0),200)</f>
        <v>Missing</v>
      </c>
      <c r="D172" s="9" t="str">
        <f>IFERROR(_xlfn.XLOOKUP(B172,Sheet2!A:A,Sheet2!C:C,"Missing",0),200)</f>
        <v>Missing</v>
      </c>
      <c r="E172" s="9" t="str">
        <f>IFERROR(_xlfn.XLOOKUP(B172,Sheet2!A:A,Sheet2!D:D,"Missing",0),200)</f>
        <v>Missing</v>
      </c>
      <c r="F172" s="9" t="str">
        <f>IFERROR(_xlfn.XLOOKUP(C172,Sheet2!B:B,Sheet2!E:E,"Missing",0),200)</f>
        <v>Missing</v>
      </c>
    </row>
    <row r="173" spans="1:6" x14ac:dyDescent="0.2">
      <c r="A173" s="6" t="s">
        <v>792</v>
      </c>
      <c r="B173" s="8" t="str" cm="1">
        <f t="array" ref="B173">INDEX(_xlfn.TEXTSPLIT(A173,","),1)</f>
        <v>renamon</v>
      </c>
      <c r="C173" s="10" t="str">
        <f>IFERROR(_xlfn.XLOOKUP(B173,Sheet2!A:A,Sheet2!B:B,"Missing",0),200)</f>
        <v>Missing</v>
      </c>
      <c r="D173" s="9" t="str">
        <f>IFERROR(_xlfn.XLOOKUP(B173,Sheet2!A:A,Sheet2!C:C,"Missing",0),200)</f>
        <v>Missing</v>
      </c>
      <c r="E173" s="9" t="str">
        <f>IFERROR(_xlfn.XLOOKUP(B173,Sheet2!A:A,Sheet2!D:D,"Missing",0),200)</f>
        <v>Missing</v>
      </c>
      <c r="F173" s="9" t="s">
        <v>879</v>
      </c>
    </row>
    <row r="174" spans="1:6" x14ac:dyDescent="0.2">
      <c r="A174" s="6" t="s">
        <v>793</v>
      </c>
      <c r="B174" s="8" t="str" cm="1">
        <f t="array" ref="B174">INDEX(_xlfn.TEXTSPLIT(A174,","),1)</f>
        <v>frieren</v>
      </c>
      <c r="C174" s="10" t="str">
        <f>IFERROR(_xlfn.XLOOKUP(B174,Sheet2!A:A,Sheet2!B:B,"Missing",0),200)</f>
        <v>Missing</v>
      </c>
      <c r="D174" s="9" t="str">
        <f>IFERROR(_xlfn.XLOOKUP(B174,Sheet2!A:A,Sheet2!C:C,"Missing",0),200)</f>
        <v>Missing</v>
      </c>
      <c r="E174" s="9" t="str">
        <f>IFERROR(_xlfn.XLOOKUP(B174,Sheet2!A:A,Sheet2!D:D,"Missing",0),200)</f>
        <v>Missing</v>
      </c>
      <c r="F174" s="9" t="s">
        <v>879</v>
      </c>
    </row>
    <row r="175" spans="1:6" x14ac:dyDescent="0.2">
      <c r="A175" s="6" t="s">
        <v>794</v>
      </c>
      <c r="B175" s="8" t="str" cm="1">
        <f t="array" ref="B175">INDEX(_xlfn.TEXTSPLIT(A175,","),1)</f>
        <v>dragon ball</v>
      </c>
      <c r="C175" s="10" t="str">
        <f>IFERROR(_xlfn.XLOOKUP(B175,Sheet2!A:A,Sheet2!B:B,"Missing",0),200)</f>
        <v>Missing</v>
      </c>
      <c r="D175" s="9" t="str">
        <f>IFERROR(_xlfn.XLOOKUP(B175,Sheet2!A:A,Sheet2!C:C,"Missing",0),200)</f>
        <v>Missing</v>
      </c>
      <c r="E175" s="9" t="str">
        <f>IFERROR(_xlfn.XLOOKUP(B175,Sheet2!A:A,Sheet2!D:D,"Missing",0),200)</f>
        <v>Missing</v>
      </c>
      <c r="F175" s="9" t="s">
        <v>879</v>
      </c>
    </row>
    <row r="176" spans="1:6" x14ac:dyDescent="0.2">
      <c r="A176" s="6" t="s">
        <v>795</v>
      </c>
      <c r="B176" s="8" t="str" cm="1">
        <f t="array" ref="B176">INDEX(_xlfn.TEXTSPLIT(A176,","),1)</f>
        <v>bulma</v>
      </c>
      <c r="C176" s="10" t="str">
        <f>IFERROR(_xlfn.XLOOKUP(B176,Sheet2!A:A,Sheet2!B:B,"Missing",0),200)</f>
        <v>Missing</v>
      </c>
      <c r="D176" s="9" t="str">
        <f>IFERROR(_xlfn.XLOOKUP(B176,Sheet2!A:A,Sheet2!C:C,"Missing",0),200)</f>
        <v>Missing</v>
      </c>
      <c r="E176" s="9" t="str">
        <f>IFERROR(_xlfn.XLOOKUP(B176,Sheet2!A:A,Sheet2!D:D,"Missing",0),200)</f>
        <v>Missing</v>
      </c>
      <c r="F176" s="9" t="s">
        <v>879</v>
      </c>
    </row>
    <row r="177" spans="1:6" x14ac:dyDescent="0.2">
      <c r="A177" s="6" t="s">
        <v>796</v>
      </c>
      <c r="B177" s="8" t="str" cm="1">
        <f t="array" ref="B177">INDEX(_xlfn.TEXTSPLIT(A177,","),1)</f>
        <v>naruto</v>
      </c>
      <c r="C177" s="10" t="str">
        <f>IFERROR(_xlfn.XLOOKUP(B177,Sheet2!A:A,Sheet2!B:B,"Missing",0),200)</f>
        <v>Missing</v>
      </c>
      <c r="D177" s="9" t="str">
        <f>IFERROR(_xlfn.XLOOKUP(B177,Sheet2!A:A,Sheet2!C:C,"Missing",0),200)</f>
        <v>Missing</v>
      </c>
      <c r="E177" s="9" t="str">
        <f>IFERROR(_xlfn.XLOOKUP(B177,Sheet2!A:A,Sheet2!D:D,"Missing",0),200)</f>
        <v>Missing</v>
      </c>
      <c r="F177" s="9" t="s">
        <v>879</v>
      </c>
    </row>
    <row r="178" spans="1:6" x14ac:dyDescent="0.2">
      <c r="A178" s="6" t="s">
        <v>797</v>
      </c>
      <c r="B178" s="8" t="str" cm="1">
        <f t="array" ref="B178">INDEX(_xlfn.TEXTSPLIT(A178,","),1)</f>
        <v>hinata hyuga</v>
      </c>
      <c r="C178" s="10" t="str">
        <f>IFERROR(_xlfn.XLOOKUP(B178,Sheet2!A:A,Sheet2!B:B,"Missing",0),200)</f>
        <v>Missing</v>
      </c>
      <c r="D178" s="9" t="str">
        <f>IFERROR(_xlfn.XLOOKUP(B178,Sheet2!A:A,Sheet2!C:C,"Missing",0),200)</f>
        <v>Missing</v>
      </c>
      <c r="E178" s="9" t="str">
        <f>IFERROR(_xlfn.XLOOKUP(B178,Sheet2!A:A,Sheet2!D:D,"Missing",0),200)</f>
        <v>Missing</v>
      </c>
      <c r="F178" s="9" t="s">
        <v>879</v>
      </c>
    </row>
    <row r="179" spans="1:6" x14ac:dyDescent="0.2">
      <c r="A179" s="6" t="s">
        <v>798</v>
      </c>
      <c r="B179" s="8" t="str" cm="1">
        <f t="array" ref="B179">INDEX(_xlfn.TEXTSPLIT(A179,","),1)</f>
        <v>one piece</v>
      </c>
      <c r="C179" s="10" t="str">
        <f>IFERROR(_xlfn.XLOOKUP(B179,Sheet2!A:A,Sheet2!B:B,"Missing",0),200)</f>
        <v>Missing</v>
      </c>
      <c r="D179" s="9" t="str">
        <f>IFERROR(_xlfn.XLOOKUP(B179,Sheet2!A:A,Sheet2!C:C,"Missing",0),200)</f>
        <v>Missing</v>
      </c>
      <c r="E179" s="9" t="str">
        <f>IFERROR(_xlfn.XLOOKUP(B179,Sheet2!A:A,Sheet2!D:D,"Missing",0),200)</f>
        <v>Missing</v>
      </c>
      <c r="F179" s="9" t="s">
        <v>879</v>
      </c>
    </row>
    <row r="180" spans="1:6" x14ac:dyDescent="0.2">
      <c r="A180" s="6" t="s">
        <v>800</v>
      </c>
      <c r="B180" s="8" t="str" cm="1">
        <f t="array" ref="B180">INDEX(_xlfn.TEXTSPLIT(A180,","),1)</f>
        <v>nico robin</v>
      </c>
      <c r="C180" s="10" t="str">
        <f>IFERROR(_xlfn.XLOOKUP(B180,Sheet2!A:A,Sheet2!B:B,"Missing",0),200)</f>
        <v>Missing</v>
      </c>
      <c r="D180" s="9" t="str">
        <f>IFERROR(_xlfn.XLOOKUP(B180,Sheet2!A:A,Sheet2!C:C,"Missing",0),200)</f>
        <v>Missing</v>
      </c>
      <c r="E180" s="9" t="str">
        <f>IFERROR(_xlfn.XLOOKUP(B180,Sheet2!A:A,Sheet2!D:D,"Missing",0),200)</f>
        <v>Missing</v>
      </c>
      <c r="F180" s="9" t="s">
        <v>879</v>
      </c>
    </row>
    <row r="181" spans="1:6" x14ac:dyDescent="0.2">
      <c r="A181" s="6" t="s">
        <v>801</v>
      </c>
      <c r="B181" s="8" t="str" cm="1">
        <f t="array" ref="B181">INDEX(_xlfn.TEXTSPLIT(A181,","),1)</f>
        <v>my hero academia</v>
      </c>
      <c r="C181" s="10" t="str">
        <f>IFERROR(_xlfn.XLOOKUP(B181,Sheet2!A:A,Sheet2!B:B,"Missing",0),200)</f>
        <v>Missing</v>
      </c>
      <c r="D181" s="9" t="str">
        <f>IFERROR(_xlfn.XLOOKUP(B181,Sheet2!A:A,Sheet2!C:C,"Missing",0),200)</f>
        <v>Missing</v>
      </c>
      <c r="E181" s="9" t="str">
        <f>IFERROR(_xlfn.XLOOKUP(B181,Sheet2!A:A,Sheet2!D:D,"Missing",0),200)</f>
        <v>Missing</v>
      </c>
      <c r="F181" s="9" t="s">
        <v>879</v>
      </c>
    </row>
    <row r="182" spans="1:6" x14ac:dyDescent="0.2">
      <c r="A182" s="6" t="s">
        <v>802</v>
      </c>
      <c r="B182" s="8" t="str" cm="1">
        <f t="array" ref="B182">INDEX(_xlfn.TEXTSPLIT(A182,","),1)</f>
        <v>ochako</v>
      </c>
      <c r="C182" s="10" t="str">
        <f>IFERROR(_xlfn.XLOOKUP(B182,Sheet2!A:A,Sheet2!B:B,"Missing",0),200)</f>
        <v>Missing</v>
      </c>
      <c r="D182" s="9" t="str">
        <f>IFERROR(_xlfn.XLOOKUP(B182,Sheet2!A:A,Sheet2!C:C,"Missing",0),200)</f>
        <v>Missing</v>
      </c>
      <c r="E182" s="9" t="str">
        <f>IFERROR(_xlfn.XLOOKUP(B182,Sheet2!A:A,Sheet2!D:D,"Missing",0),200)</f>
        <v>Missing</v>
      </c>
      <c r="F182" s="9" t="str">
        <f>IFERROR(_xlfn.XLOOKUP(C182,Sheet2!B:B,Sheet2!E:E,"Missing",0),200)</f>
        <v>Missing</v>
      </c>
    </row>
    <row r="183" spans="1:6" x14ac:dyDescent="0.2">
      <c r="A183" s="6" t="s">
        <v>803</v>
      </c>
      <c r="B183" s="8" t="str" cm="1">
        <f t="array" ref="B183">INDEX(_xlfn.TEXTSPLIT(A183,","),1)</f>
        <v>toga</v>
      </c>
      <c r="C183" s="10" t="str">
        <f>IFERROR(_xlfn.XLOOKUP(B183,Sheet2!A:A,Sheet2!B:B,"Missing",0),200)</f>
        <v>Missing</v>
      </c>
      <c r="D183" s="9" t="str">
        <f>IFERROR(_xlfn.XLOOKUP(B183,Sheet2!A:A,Sheet2!C:C,"Missing",0),200)</f>
        <v>Missing</v>
      </c>
      <c r="E183" s="9" t="str">
        <f>IFERROR(_xlfn.XLOOKUP(B183,Sheet2!A:A,Sheet2!D:D,"Missing",0),200)</f>
        <v>Missing</v>
      </c>
      <c r="F183" s="9" t="str">
        <f>IFERROR(_xlfn.XLOOKUP(C183,Sheet2!B:B,Sheet2!E:E,"Missing",0),200)</f>
        <v>Missing</v>
      </c>
    </row>
    <row r="184" spans="1:6" x14ac:dyDescent="0.2">
      <c r="A184" s="6" t="s">
        <v>804</v>
      </c>
      <c r="B184" s="8" t="str" cm="1">
        <f t="array" ref="B184">INDEX(_xlfn.TEXTSPLIT(A184,","),1)</f>
        <v>attack on titan</v>
      </c>
      <c r="C184" s="10" t="str">
        <f>IFERROR(_xlfn.XLOOKUP(B184,Sheet2!A:A,Sheet2!B:B,"Missing",0),200)</f>
        <v>Missing</v>
      </c>
      <c r="D184" s="9" t="str">
        <f>IFERROR(_xlfn.XLOOKUP(B184,Sheet2!A:A,Sheet2!C:C,"Missing",0),200)</f>
        <v>Missing</v>
      </c>
      <c r="E184" s="9" t="str">
        <f>IFERROR(_xlfn.XLOOKUP(B184,Sheet2!A:A,Sheet2!D:D,"Missing",0),200)</f>
        <v>Missing</v>
      </c>
      <c r="F184" s="9" t="s">
        <v>879</v>
      </c>
    </row>
    <row r="185" spans="1:6" x14ac:dyDescent="0.2">
      <c r="A185" s="6" t="s">
        <v>805</v>
      </c>
      <c r="B185" s="8" t="str" cm="1">
        <f t="array" ref="B185">INDEX(_xlfn.TEXTSPLIT(A185,","),1)</f>
        <v>mikasa</v>
      </c>
      <c r="C185" s="10" t="str">
        <f>IFERROR(_xlfn.XLOOKUP(B185,Sheet2!A:A,Sheet2!B:B,"Missing",0),200)</f>
        <v>Missing</v>
      </c>
      <c r="D185" s="9" t="str">
        <f>IFERROR(_xlfn.XLOOKUP(B185,Sheet2!A:A,Sheet2!C:C,"Missing",0),200)</f>
        <v>Missing</v>
      </c>
      <c r="E185" s="9" t="str">
        <f>IFERROR(_xlfn.XLOOKUP(B185,Sheet2!A:A,Sheet2!D:D,"Missing",0),200)</f>
        <v>Missing</v>
      </c>
      <c r="F185" s="9" t="str">
        <f>IFERROR(_xlfn.XLOOKUP(C185,Sheet2!B:B,Sheet2!E:E,"Missing",0),200)</f>
        <v>Missing</v>
      </c>
    </row>
    <row r="186" spans="1:6" x14ac:dyDescent="0.2">
      <c r="A186" s="6" t="s">
        <v>806</v>
      </c>
      <c r="B186" s="8" t="str" cm="1">
        <f t="array" ref="B186">INDEX(_xlfn.TEXTSPLIT(A186,","),1)</f>
        <v>demon slayer</v>
      </c>
      <c r="C186" s="10" t="str">
        <f>IFERROR(_xlfn.XLOOKUP(B186,Sheet2!A:A,Sheet2!B:B,"Missing",0),200)</f>
        <v>Missing</v>
      </c>
      <c r="D186" s="9" t="str">
        <f>IFERROR(_xlfn.XLOOKUP(B186,Sheet2!A:A,Sheet2!C:C,"Missing",0),200)</f>
        <v>Missing</v>
      </c>
      <c r="E186" s="9" t="str">
        <f>IFERROR(_xlfn.XLOOKUP(B186,Sheet2!A:A,Sheet2!D:D,"Missing",0),200)</f>
        <v>Missing</v>
      </c>
      <c r="F186" s="9" t="s">
        <v>879</v>
      </c>
    </row>
    <row r="187" spans="1:6" x14ac:dyDescent="0.2">
      <c r="A187" s="6" t="s">
        <v>807</v>
      </c>
      <c r="B187" s="8" t="str" cm="1">
        <f t="array" ref="B187">INDEX(_xlfn.TEXTSPLIT(A187,","),1)</f>
        <v>nezuko</v>
      </c>
      <c r="C187" s="10" t="str">
        <f>IFERROR(_xlfn.XLOOKUP(B187,Sheet2!A:A,Sheet2!B:B,"Missing",0),200)</f>
        <v>Missing</v>
      </c>
      <c r="D187" s="9" t="str">
        <f>IFERROR(_xlfn.XLOOKUP(B187,Sheet2!A:A,Sheet2!C:C,"Missing",0),200)</f>
        <v>Missing</v>
      </c>
      <c r="E187" s="9" t="str">
        <f>IFERROR(_xlfn.XLOOKUP(B187,Sheet2!A:A,Sheet2!D:D,"Missing",0),200)</f>
        <v>Missing</v>
      </c>
      <c r="F187" s="9" t="s">
        <v>879</v>
      </c>
    </row>
    <row r="188" spans="1:6" x14ac:dyDescent="0.2">
      <c r="A188" s="6" t="s">
        <v>808</v>
      </c>
      <c r="B188" s="8" t="str" cm="1">
        <f t="array" ref="B188">INDEX(_xlfn.TEXTSPLIT(A188,","),1)</f>
        <v>chainsaw man</v>
      </c>
      <c r="C188" s="10" t="str">
        <f>IFERROR(_xlfn.XLOOKUP(B188,Sheet2!A:A,Sheet2!B:B,"Missing",0),200)</f>
        <v>Missing</v>
      </c>
      <c r="D188" s="9" t="str">
        <f>IFERROR(_xlfn.XLOOKUP(B188,Sheet2!A:A,Sheet2!C:C,"Missing",0),200)</f>
        <v>Missing</v>
      </c>
      <c r="E188" s="9" t="str">
        <f>IFERROR(_xlfn.XLOOKUP(B188,Sheet2!A:A,Sheet2!D:D,"Missing",0),200)</f>
        <v>Missing</v>
      </c>
      <c r="F188" s="9" t="s">
        <v>879</v>
      </c>
    </row>
    <row r="189" spans="1:6" x14ac:dyDescent="0.2">
      <c r="A189" s="6" t="s">
        <v>809</v>
      </c>
      <c r="B189" s="8" t="str" cm="1">
        <f t="array" ref="B189">INDEX(_xlfn.TEXTSPLIT(A189,","),1)</f>
        <v>makima</v>
      </c>
      <c r="C189" s="10" t="str">
        <f>IFERROR(_xlfn.XLOOKUP(B189,Sheet2!A:A,Sheet2!B:B,"Missing",0),200)</f>
        <v>Missing</v>
      </c>
      <c r="D189" s="9" t="str">
        <f>IFERROR(_xlfn.XLOOKUP(B189,Sheet2!A:A,Sheet2!C:C,"Missing",0),200)</f>
        <v>Missing</v>
      </c>
      <c r="E189" s="9" t="str">
        <f>IFERROR(_xlfn.XLOOKUP(B189,Sheet2!A:A,Sheet2!D:D,"Missing",0),200)</f>
        <v>Missing</v>
      </c>
      <c r="F189" s="9" t="s">
        <v>879</v>
      </c>
    </row>
    <row r="190" spans="1:6" x14ac:dyDescent="0.2">
      <c r="A190" s="6" t="s">
        <v>812</v>
      </c>
      <c r="B190" s="8" t="str" cm="1">
        <f t="array" ref="B190">INDEX(_xlfn.TEXTSPLIT(A190,","),1)</f>
        <v>orihime</v>
      </c>
      <c r="C190" s="10" t="str">
        <f>IFERROR(_xlfn.XLOOKUP(B190,Sheet2!A:A,Sheet2!B:B,"Missing",0),200)</f>
        <v>Missing</v>
      </c>
      <c r="D190" s="9" t="str">
        <f>IFERROR(_xlfn.XLOOKUP(B190,Sheet2!A:A,Sheet2!C:C,"Missing",0),200)</f>
        <v>Missing</v>
      </c>
      <c r="E190" s="9" t="str">
        <f>IFERROR(_xlfn.XLOOKUP(B190,Sheet2!A:A,Sheet2!D:D,"Missing",0),200)</f>
        <v>Missing</v>
      </c>
      <c r="F190" s="9" t="s">
        <v>879</v>
      </c>
    </row>
    <row r="191" spans="1:6" x14ac:dyDescent="0.2">
      <c r="A191" s="6" t="s">
        <v>813</v>
      </c>
      <c r="B191" s="8" t="str" cm="1">
        <f t="array" ref="B191">INDEX(_xlfn.TEXTSPLIT(A191,","),1)</f>
        <v>rangiku</v>
      </c>
      <c r="C191" s="10" t="str">
        <f>IFERROR(_xlfn.XLOOKUP(B191,Sheet2!A:A,Sheet2!B:B,"Missing",0),200)</f>
        <v>Missing</v>
      </c>
      <c r="D191" s="9" t="str">
        <f>IFERROR(_xlfn.XLOOKUP(B191,Sheet2!A:A,Sheet2!C:C,"Missing",0),200)</f>
        <v>Missing</v>
      </c>
      <c r="E191" s="9" t="str">
        <f>IFERROR(_xlfn.XLOOKUP(B191,Sheet2!A:A,Sheet2!D:D,"Missing",0),200)</f>
        <v>Missing</v>
      </c>
      <c r="F191" s="9" t="s">
        <v>879</v>
      </c>
    </row>
    <row r="192" spans="1:6" x14ac:dyDescent="0.2">
      <c r="A192" s="6" t="s">
        <v>814</v>
      </c>
      <c r="B192" s="8" t="str" cm="1">
        <f t="array" ref="B192">INDEX(_xlfn.TEXTSPLIT(A192,","),1)</f>
        <v>fairy tail</v>
      </c>
      <c r="C192" s="10" t="str">
        <f>IFERROR(_xlfn.XLOOKUP(B192,Sheet2!A:A,Sheet2!B:B,"Missing",0),200)</f>
        <v>Missing</v>
      </c>
      <c r="D192" s="9" t="str">
        <f>IFERROR(_xlfn.XLOOKUP(B192,Sheet2!A:A,Sheet2!C:C,"Missing",0),200)</f>
        <v>Missing</v>
      </c>
      <c r="E192" s="9" t="str">
        <f>IFERROR(_xlfn.XLOOKUP(B192,Sheet2!A:A,Sheet2!D:D,"Missing",0),200)</f>
        <v>Missing</v>
      </c>
      <c r="F192" s="9" t="s">
        <v>879</v>
      </c>
    </row>
    <row r="193" spans="1:6" x14ac:dyDescent="0.2">
      <c r="A193" s="6" t="s">
        <v>815</v>
      </c>
      <c r="B193" s="8" t="str" cm="1">
        <f t="array" ref="B193">INDEX(_xlfn.TEXTSPLIT(A193,","),1)</f>
        <v>erza scarlet</v>
      </c>
      <c r="C193" s="10" t="str">
        <f>IFERROR(_xlfn.XLOOKUP(B193,Sheet2!A:A,Sheet2!B:B,"Missing",0),200)</f>
        <v>Missing</v>
      </c>
      <c r="D193" s="9" t="str">
        <f>IFERROR(_xlfn.XLOOKUP(B193,Sheet2!A:A,Sheet2!C:C,"Missing",0),200)</f>
        <v>Missing</v>
      </c>
      <c r="E193" s="9" t="str">
        <f>IFERROR(_xlfn.XLOOKUP(B193,Sheet2!A:A,Sheet2!D:D,"Missing",0),200)</f>
        <v>Missing</v>
      </c>
      <c r="F193" s="9" t="s">
        <v>879</v>
      </c>
    </row>
    <row r="194" spans="1:6" x14ac:dyDescent="0.2">
      <c r="A194" s="6" t="s">
        <v>816</v>
      </c>
      <c r="B194" s="8" t="str" cm="1">
        <f t="array" ref="B194">INDEX(_xlfn.TEXTSPLIT(A194,","),1)</f>
        <v>lucy heartfilia</v>
      </c>
      <c r="C194" s="10" t="str">
        <f>IFERROR(_xlfn.XLOOKUP(B194,Sheet2!A:A,Sheet2!B:B,"Missing",0),200)</f>
        <v>Missing</v>
      </c>
      <c r="D194" s="9" t="str">
        <f>IFERROR(_xlfn.XLOOKUP(B194,Sheet2!A:A,Sheet2!C:C,"Missing",0),200)</f>
        <v>Missing</v>
      </c>
      <c r="E194" s="9" t="str">
        <f>IFERROR(_xlfn.XLOOKUP(B194,Sheet2!A:A,Sheet2!D:D,"Missing",0),200)</f>
        <v>Missing</v>
      </c>
      <c r="F194" s="9" t="s">
        <v>879</v>
      </c>
    </row>
    <row r="195" spans="1:6" x14ac:dyDescent="0.2">
      <c r="A195" s="6" t="s">
        <v>817</v>
      </c>
      <c r="B195" s="8" t="str" cm="1">
        <f t="array" ref="B195">INDEX(_xlfn.TEXTSPLIT(A195,","),1)</f>
        <v>spy x family</v>
      </c>
      <c r="C195" s="10" t="str">
        <f>IFERROR(_xlfn.XLOOKUP(B195,Sheet2!A:A,Sheet2!B:B,"Missing",0),200)</f>
        <v>Missing</v>
      </c>
      <c r="D195" s="9" t="str">
        <f>IFERROR(_xlfn.XLOOKUP(B195,Sheet2!A:A,Sheet2!C:C,"Missing",0),200)</f>
        <v>Missing</v>
      </c>
      <c r="E195" s="9" t="str">
        <f>IFERROR(_xlfn.XLOOKUP(B195,Sheet2!A:A,Sheet2!D:D,"Missing",0),200)</f>
        <v>Missing</v>
      </c>
      <c r="F195" s="9" t="s">
        <v>879</v>
      </c>
    </row>
    <row r="196" spans="1:6" x14ac:dyDescent="0.2">
      <c r="A196" s="6" t="s">
        <v>818</v>
      </c>
      <c r="B196" s="8" t="str" cm="1">
        <f t="array" ref="B196">INDEX(_xlfn.TEXTSPLIT(A196,","),1)</f>
        <v>yor forger</v>
      </c>
      <c r="C196" s="10" t="str">
        <f>IFERROR(_xlfn.XLOOKUP(B196,Sheet2!A:A,Sheet2!B:B,"Missing",0),200)</f>
        <v>Missing</v>
      </c>
      <c r="D196" s="9" t="str">
        <f>IFERROR(_xlfn.XLOOKUP(B196,Sheet2!A:A,Sheet2!C:C,"Missing",0),200)</f>
        <v>Missing</v>
      </c>
      <c r="E196" s="9" t="str">
        <f>IFERROR(_xlfn.XLOOKUP(B196,Sheet2!A:A,Sheet2!D:D,"Missing",0),200)</f>
        <v>Missing</v>
      </c>
      <c r="F196" s="9" t="s">
        <v>879</v>
      </c>
    </row>
    <row r="197" spans="1:6" x14ac:dyDescent="0.2">
      <c r="A197" s="6" t="s">
        <v>819</v>
      </c>
      <c r="B197" s="8" t="str" cm="1">
        <f t="array" ref="B197">INDEX(_xlfn.TEXTSPLIT(A197,","),1)</f>
        <v>jujutsu kaisen</v>
      </c>
      <c r="C197" s="10" t="str">
        <f>IFERROR(_xlfn.XLOOKUP(B197,Sheet2!A:A,Sheet2!B:B,"Missing",0),200)</f>
        <v>Missing</v>
      </c>
      <c r="D197" s="9" t="str">
        <f>IFERROR(_xlfn.XLOOKUP(B197,Sheet2!A:A,Sheet2!C:C,"Missing",0),200)</f>
        <v>Missing</v>
      </c>
      <c r="E197" s="9" t="str">
        <f>IFERROR(_xlfn.XLOOKUP(B197,Sheet2!A:A,Sheet2!D:D,"Missing",0),200)</f>
        <v>Missing</v>
      </c>
      <c r="F197" s="9" t="s">
        <v>879</v>
      </c>
    </row>
    <row r="198" spans="1:6" x14ac:dyDescent="0.2">
      <c r="A198" s="6" t="s">
        <v>820</v>
      </c>
      <c r="B198" s="8" t="str" cm="1">
        <f t="array" ref="B198">INDEX(_xlfn.TEXTSPLIT(A198,","),1)</f>
        <v>nobara kugisaki</v>
      </c>
      <c r="C198" s="10" t="str">
        <f>IFERROR(_xlfn.XLOOKUP(B198,Sheet2!A:A,Sheet2!B:B,"Missing",0),200)</f>
        <v>Missing</v>
      </c>
      <c r="D198" s="9" t="str">
        <f>IFERROR(_xlfn.XLOOKUP(B198,Sheet2!A:A,Sheet2!C:C,"Missing",0),200)</f>
        <v>Missing</v>
      </c>
      <c r="E198" s="9" t="str">
        <f>IFERROR(_xlfn.XLOOKUP(B198,Sheet2!A:A,Sheet2!D:D,"Missing",0),200)</f>
        <v>Missing</v>
      </c>
      <c r="F198" s="9" t="s">
        <v>879</v>
      </c>
    </row>
    <row r="199" spans="1:6" x14ac:dyDescent="0.2">
      <c r="A199" s="6" t="s">
        <v>821</v>
      </c>
      <c r="B199" s="8" t="str" cm="1">
        <f t="array" ref="B199">INDEX(_xlfn.TEXTSPLIT(A199,","),1)</f>
        <v>inuyasha</v>
      </c>
      <c r="C199" s="10" t="str">
        <f>IFERROR(_xlfn.XLOOKUP(B199,Sheet2!A:A,Sheet2!B:B,"Missing",0),200)</f>
        <v>Missing</v>
      </c>
      <c r="D199" s="9" t="str">
        <f>IFERROR(_xlfn.XLOOKUP(B199,Sheet2!A:A,Sheet2!C:C,"Missing",0),200)</f>
        <v>Missing</v>
      </c>
      <c r="E199" s="9" t="str">
        <f>IFERROR(_xlfn.XLOOKUP(B199,Sheet2!A:A,Sheet2!D:D,"Missing",0),200)</f>
        <v>Missing</v>
      </c>
      <c r="F199" s="9" t="s">
        <v>879</v>
      </c>
    </row>
    <row r="200" spans="1:6" x14ac:dyDescent="0.2">
      <c r="A200" s="6" t="s">
        <v>822</v>
      </c>
      <c r="B200" s="8" t="str" cm="1">
        <f t="array" ref="B200">INDEX(_xlfn.TEXTSPLIT(A200,","),1)</f>
        <v>kagome</v>
      </c>
      <c r="C200" s="10" t="str">
        <f>IFERROR(_xlfn.XLOOKUP(B200,Sheet2!A:A,Sheet2!B:B,"Missing",0),200)</f>
        <v>Missing</v>
      </c>
      <c r="D200" s="9" t="str">
        <f>IFERROR(_xlfn.XLOOKUP(B200,Sheet2!A:A,Sheet2!C:C,"Missing",0),200)</f>
        <v>Missing</v>
      </c>
      <c r="E200" s="9" t="str">
        <f>IFERROR(_xlfn.XLOOKUP(B200,Sheet2!A:A,Sheet2!D:D,"Missing",0),200)</f>
        <v>Missing</v>
      </c>
      <c r="F200" s="9" t="s">
        <v>879</v>
      </c>
    </row>
    <row r="201" spans="1:6" x14ac:dyDescent="0.2">
      <c r="A201" s="6" t="s">
        <v>823</v>
      </c>
      <c r="B201" s="8" t="str" cm="1">
        <f t="array" ref="B201">INDEX(_xlfn.TEXTSPLIT(A201,","),1)</f>
        <v>sailor moon</v>
      </c>
      <c r="C201" s="10" t="str">
        <f>IFERROR(_xlfn.XLOOKUP(B201,Sheet2!A:A,Sheet2!B:B,"Missing",0),200)</f>
        <v>Missing</v>
      </c>
      <c r="D201" s="9" t="str">
        <f>IFERROR(_xlfn.XLOOKUP(B201,Sheet2!A:A,Sheet2!C:C,"Missing",0),200)</f>
        <v>Missing</v>
      </c>
      <c r="E201" s="9" t="str">
        <f>IFERROR(_xlfn.XLOOKUP(B201,Sheet2!A:A,Sheet2!D:D,"Missing",0),200)</f>
        <v>Missing</v>
      </c>
      <c r="F201" s="9" t="s">
        <v>879</v>
      </c>
    </row>
    <row r="202" spans="1:6" x14ac:dyDescent="0.2">
      <c r="A202" s="6" t="s">
        <v>824</v>
      </c>
      <c r="B202" s="8" t="str" cm="1">
        <f t="array" ref="B202">INDEX(_xlfn.TEXTSPLIT(A202,","),1)</f>
        <v>usagi tsukino</v>
      </c>
      <c r="C202" s="10" t="str">
        <f>IFERROR(_xlfn.XLOOKUP(B202,Sheet2!A:A,Sheet2!B:B,"Missing",0),200)</f>
        <v>Missing</v>
      </c>
      <c r="D202" s="9" t="str">
        <f>IFERROR(_xlfn.XLOOKUP(B202,Sheet2!A:A,Sheet2!C:C,"Missing",0),200)</f>
        <v>Missing</v>
      </c>
      <c r="E202" s="9" t="str">
        <f>IFERROR(_xlfn.XLOOKUP(B202,Sheet2!A:A,Sheet2!D:D,"Missing",0),200)</f>
        <v>Missing</v>
      </c>
      <c r="F202" s="9" t="s">
        <v>879</v>
      </c>
    </row>
    <row r="203" spans="1:6" x14ac:dyDescent="0.2">
      <c r="A203" s="6" t="s">
        <v>825</v>
      </c>
      <c r="B203" s="8" t="str" cm="1">
        <f t="array" ref="B203">INDEX(_xlfn.TEXTSPLIT(A203,","),1)</f>
        <v>pokemon misty team rocket</v>
      </c>
      <c r="C203" s="10" t="str">
        <f>IFERROR(_xlfn.XLOOKUP(B203,Sheet2!A:A,Sheet2!B:B,"Missing",0),200)</f>
        <v>Missing</v>
      </c>
      <c r="D203" s="9" t="str">
        <f>IFERROR(_xlfn.XLOOKUP(B203,Sheet2!A:A,Sheet2!C:C,"Missing",0),200)</f>
        <v>Missing</v>
      </c>
      <c r="E203" s="9" t="str">
        <f>IFERROR(_xlfn.XLOOKUP(B203,Sheet2!A:A,Sheet2!D:D,"Missing",0),200)</f>
        <v>Missing</v>
      </c>
      <c r="F203" s="9" t="str">
        <f>IFERROR(_xlfn.XLOOKUP(C203,Sheet2!B:B,Sheet2!E:E,"Missing",0),200)</f>
        <v>Missing</v>
      </c>
    </row>
    <row r="204" spans="1:6" x14ac:dyDescent="0.2">
      <c r="A204" s="6" t="s">
        <v>827</v>
      </c>
      <c r="B204" s="8" t="str" cm="1">
        <f t="array" ref="B204">INDEX(_xlfn.TEXTSPLIT(A204,","),1)</f>
        <v>league of legends</v>
      </c>
      <c r="C204" s="10" t="str">
        <f>IFERROR(_xlfn.XLOOKUP(B204,Sheet2!A:A,Sheet2!B:B,"Missing",0),200)</f>
        <v>Missing</v>
      </c>
      <c r="D204" s="9" t="str">
        <f>IFERROR(_xlfn.XLOOKUP(B204,Sheet2!A:A,Sheet2!C:C,"Missing",0),200)</f>
        <v>Missing</v>
      </c>
      <c r="E204" s="9" t="str">
        <f>IFERROR(_xlfn.XLOOKUP(B204,Sheet2!A:A,Sheet2!D:D,"Missing",0),200)</f>
        <v>Missing</v>
      </c>
      <c r="F204" s="9" t="s">
        <v>879</v>
      </c>
    </row>
    <row r="205" spans="1:6" x14ac:dyDescent="0.2">
      <c r="A205" s="6" t="s">
        <v>828</v>
      </c>
      <c r="B205" s="8" t="str" cm="1">
        <f t="array" ref="B205">INDEX(_xlfn.TEXTSPLIT(A205,","),1)</f>
        <v>ahri</v>
      </c>
      <c r="C205" s="10" t="str">
        <f>IFERROR(_xlfn.XLOOKUP(B205,Sheet2!A:A,Sheet2!B:B,"Missing",0),200)</f>
        <v>Missing</v>
      </c>
      <c r="D205" s="9" t="str">
        <f>IFERROR(_xlfn.XLOOKUP(B205,Sheet2!A:A,Sheet2!C:C,"Missing",0),200)</f>
        <v>Missing</v>
      </c>
      <c r="E205" s="9" t="str">
        <f>IFERROR(_xlfn.XLOOKUP(B205,Sheet2!A:A,Sheet2!D:D,"Missing",0),200)</f>
        <v>Missing</v>
      </c>
      <c r="F205" s="9" t="s">
        <v>879</v>
      </c>
    </row>
    <row r="206" spans="1:6" x14ac:dyDescent="0.2">
      <c r="A206" s="6" t="s">
        <v>832</v>
      </c>
      <c r="B206" s="8" t="str" cm="1">
        <f t="array" ref="B206">INDEX(_xlfn.TEXTSPLIT(A206,","),1)</f>
        <v>genshin impact</v>
      </c>
      <c r="C206" s="10" t="str">
        <f>IFERROR(_xlfn.XLOOKUP(B206,Sheet2!A:A,Sheet2!B:B,"Missing",0),200)</f>
        <v>Missing</v>
      </c>
      <c r="D206" s="9" t="str">
        <f>IFERROR(_xlfn.XLOOKUP(B206,Sheet2!A:A,Sheet2!C:C,"Missing",0),200)</f>
        <v>Missing</v>
      </c>
      <c r="E206" s="9" t="str">
        <f>IFERROR(_xlfn.XLOOKUP(B206,Sheet2!A:A,Sheet2!D:D,"Missing",0),200)</f>
        <v>Missing</v>
      </c>
      <c r="F206" s="9" t="s">
        <v>879</v>
      </c>
    </row>
    <row r="207" spans="1:6" x14ac:dyDescent="0.2">
      <c r="A207" s="6" t="s">
        <v>833</v>
      </c>
      <c r="B207" s="8" t="str" cm="1">
        <f t="array" ref="B207">INDEX(_xlfn.TEXTSPLIT(A207,","),1)</f>
        <v>ganyu</v>
      </c>
      <c r="C207" s="10" t="str">
        <f>IFERROR(_xlfn.XLOOKUP(B207,Sheet2!A:A,Sheet2!B:B,"Missing",0),200)</f>
        <v>Missing</v>
      </c>
      <c r="D207" s="9" t="str">
        <f>IFERROR(_xlfn.XLOOKUP(B207,Sheet2!A:A,Sheet2!C:C,"Missing",0),200)</f>
        <v>Missing</v>
      </c>
      <c r="E207" s="9" t="str">
        <f>IFERROR(_xlfn.XLOOKUP(B207,Sheet2!A:A,Sheet2!D:D,"Missing",0),200)</f>
        <v>Missing</v>
      </c>
      <c r="F207" s="9" t="str">
        <f>IFERROR(_xlfn.XLOOKUP(C207,Sheet2!B:B,Sheet2!E:E,"Missing",0),200)</f>
        <v>Missing</v>
      </c>
    </row>
    <row r="208" spans="1:6" x14ac:dyDescent="0.2">
      <c r="A208" s="6" t="s">
        <v>834</v>
      </c>
      <c r="B208" s="8" t="str" cm="1">
        <f t="array" ref="B208">INDEX(_xlfn.TEXTSPLIT(A208,","),1)</f>
        <v>amber genshin</v>
      </c>
      <c r="C208" s="10" t="str">
        <f>IFERROR(_xlfn.XLOOKUP(B208,Sheet2!A:A,Sheet2!B:B,"Missing",0),200)</f>
        <v>Missing</v>
      </c>
      <c r="D208" s="9" t="str">
        <f>IFERROR(_xlfn.XLOOKUP(B208,Sheet2!A:A,Sheet2!C:C,"Missing",0),200)</f>
        <v>Missing</v>
      </c>
      <c r="E208" s="9" t="str">
        <f>IFERROR(_xlfn.XLOOKUP(B208,Sheet2!A:A,Sheet2!D:D,"Missing",0),200)</f>
        <v>Missing</v>
      </c>
      <c r="F208" s="9" t="str">
        <f>IFERROR(_xlfn.XLOOKUP(C208,Sheet2!B:B,Sheet2!E:E,"Missing",0),200)</f>
        <v>Missing</v>
      </c>
    </row>
    <row r="209" spans="1:6" x14ac:dyDescent="0.2">
      <c r="A209" s="6" t="s">
        <v>835</v>
      </c>
      <c r="B209" s="8" t="str" cm="1">
        <f t="array" ref="B209">INDEX(_xlfn.TEXTSPLIT(A209,","),1)</f>
        <v>fate stay night</v>
      </c>
      <c r="C209" s="10" t="str">
        <f>IFERROR(_xlfn.XLOOKUP(B209,Sheet2!A:A,Sheet2!B:B,"Missing",0),200)</f>
        <v>Missing</v>
      </c>
      <c r="D209" s="9" t="str">
        <f>IFERROR(_xlfn.XLOOKUP(B209,Sheet2!A:A,Sheet2!C:C,"Missing",0),200)</f>
        <v>Missing</v>
      </c>
      <c r="E209" s="9" t="str">
        <f>IFERROR(_xlfn.XLOOKUP(B209,Sheet2!A:A,Sheet2!D:D,"Missing",0),200)</f>
        <v>Missing</v>
      </c>
      <c r="F209" s="9" t="str">
        <f>IFERROR(_xlfn.XLOOKUP(C209,Sheet2!B:B,Sheet2!E:E,"Missing",0),200)</f>
        <v>Missing</v>
      </c>
    </row>
    <row r="210" spans="1:6" x14ac:dyDescent="0.2">
      <c r="A210" s="6" t="s">
        <v>837</v>
      </c>
      <c r="B210" s="8" t="str" cm="1">
        <f t="array" ref="B210">INDEX(_xlfn.TEXTSPLIT(A210,","),1)</f>
        <v>rin tohsaka</v>
      </c>
      <c r="C210" s="10" t="str">
        <f>IFERROR(_xlfn.XLOOKUP(B210,Sheet2!A:A,Sheet2!B:B,"Missing",0),200)</f>
        <v>Missing</v>
      </c>
      <c r="D210" s="9" t="str">
        <f>IFERROR(_xlfn.XLOOKUP(B210,Sheet2!A:A,Sheet2!C:C,"Missing",0),200)</f>
        <v>Missing</v>
      </c>
      <c r="E210" s="9" t="str">
        <f>IFERROR(_xlfn.XLOOKUP(B210,Sheet2!A:A,Sheet2!D:D,"Missing",0),200)</f>
        <v>Missing</v>
      </c>
      <c r="F210" s="9" t="str">
        <f>IFERROR(_xlfn.XLOOKUP(C210,Sheet2!B:B,Sheet2!E:E,"Missing",0),200)</f>
        <v>Missing</v>
      </c>
    </row>
    <row r="211" spans="1:6" x14ac:dyDescent="0.2">
      <c r="A211" s="6" t="s">
        <v>838</v>
      </c>
      <c r="B211" s="8" t="str" cm="1">
        <f t="array" ref="B211">INDEX(_xlfn.TEXTSPLIT(A211,","),1)</f>
        <v>zero two</v>
      </c>
      <c r="C211" s="10" t="str">
        <f>IFERROR(_xlfn.XLOOKUP(B211,Sheet2!A:A,Sheet2!B:B,"Missing",0),200)</f>
        <v>Missing</v>
      </c>
      <c r="D211" s="9" t="str">
        <f>IFERROR(_xlfn.XLOOKUP(B211,Sheet2!A:A,Sheet2!C:C,"Missing",0),200)</f>
        <v>Missing</v>
      </c>
      <c r="E211" s="9" t="str">
        <f>IFERROR(_xlfn.XLOOKUP(B211,Sheet2!A:A,Sheet2!D:D,"Missing",0),200)</f>
        <v>Missing</v>
      </c>
      <c r="F211" s="9" t="str">
        <f>IFERROR(_xlfn.XLOOKUP(C211,Sheet2!B:B,Sheet2!E:E,"Missing",0),200)</f>
        <v>Missing</v>
      </c>
    </row>
    <row r="212" spans="1:6" x14ac:dyDescent="0.2">
      <c r="A212" s="6" t="s">
        <v>839</v>
      </c>
      <c r="B212" s="8" t="str" cm="1">
        <f t="array" ref="B212">INDEX(_xlfn.TEXTSPLIT(A212,","),1)</f>
        <v>darling in the franxx</v>
      </c>
      <c r="C212" s="10" t="str">
        <f>IFERROR(_xlfn.XLOOKUP(B212,Sheet2!A:A,Sheet2!B:B,"Missing",0),200)</f>
        <v>Missing</v>
      </c>
      <c r="D212" s="9" t="str">
        <f>IFERROR(_xlfn.XLOOKUP(B212,Sheet2!A:A,Sheet2!C:C,"Missing",0),200)</f>
        <v>Missing</v>
      </c>
      <c r="E212" s="9" t="str">
        <f>IFERROR(_xlfn.XLOOKUP(B212,Sheet2!A:A,Sheet2!D:D,"Missing",0),200)</f>
        <v>Missing</v>
      </c>
      <c r="F212" s="9" t="str">
        <f>IFERROR(_xlfn.XLOOKUP(C212,Sheet2!B:B,Sheet2!E:E,"Missing",0),200)</f>
        <v>Missing</v>
      </c>
    </row>
    <row r="213" spans="1:6" x14ac:dyDescent="0.2">
      <c r="A213" s="6" t="s">
        <v>840</v>
      </c>
      <c r="B213" s="8" t="str" cm="1">
        <f t="array" ref="B213">INDEX(_xlfn.TEXTSPLIT(A213,","),1)</f>
        <v>kill la kill</v>
      </c>
      <c r="C213" s="10" t="str">
        <f>IFERROR(_xlfn.XLOOKUP(B213,Sheet2!A:A,Sheet2!B:B,"Missing",0),200)</f>
        <v>Missing</v>
      </c>
      <c r="D213" s="9" t="str">
        <f>IFERROR(_xlfn.XLOOKUP(B213,Sheet2!A:A,Sheet2!C:C,"Missing",0),200)</f>
        <v>Missing</v>
      </c>
      <c r="E213" s="9" t="str">
        <f>IFERROR(_xlfn.XLOOKUP(B213,Sheet2!A:A,Sheet2!D:D,"Missing",0),200)</f>
        <v>Missing</v>
      </c>
      <c r="F213" s="9" t="str">
        <f>IFERROR(_xlfn.XLOOKUP(C213,Sheet2!B:B,Sheet2!E:E,"Missing",0),200)</f>
        <v>Missing</v>
      </c>
    </row>
    <row r="214" spans="1:6" x14ac:dyDescent="0.2">
      <c r="A214" s="6" t="s">
        <v>841</v>
      </c>
      <c r="B214" s="8" t="str" cm="1">
        <f t="array" ref="B214">INDEX(_xlfn.TEXTSPLIT(A214,","),1)</f>
        <v>ryuko matoi</v>
      </c>
      <c r="C214" s="10" t="str">
        <f>IFERROR(_xlfn.XLOOKUP(B214,Sheet2!A:A,Sheet2!B:B,"Missing",0),200)</f>
        <v>Missing</v>
      </c>
      <c r="D214" s="9" t="str">
        <f>IFERROR(_xlfn.XLOOKUP(B214,Sheet2!A:A,Sheet2!C:C,"Missing",0),200)</f>
        <v>Missing</v>
      </c>
      <c r="E214" s="9" t="str">
        <f>IFERROR(_xlfn.XLOOKUP(B214,Sheet2!A:A,Sheet2!D:D,"Missing",0),200)</f>
        <v>Missing</v>
      </c>
      <c r="F214" s="9" t="s">
        <v>879</v>
      </c>
    </row>
    <row r="215" spans="1:6" x14ac:dyDescent="0.2">
      <c r="A215" s="6" t="s">
        <v>842</v>
      </c>
      <c r="B215" s="8" t="str" cm="1">
        <f t="array" ref="B215">INDEX(_xlfn.TEXTSPLIT(A215,","),1)</f>
        <v>satsuki kiryuuin</v>
      </c>
      <c r="C215" s="10" t="str">
        <f>IFERROR(_xlfn.XLOOKUP(B215,Sheet2!A:A,Sheet2!B:B,"Missing",0),200)</f>
        <v>Missing</v>
      </c>
      <c r="D215" s="9" t="str">
        <f>IFERROR(_xlfn.XLOOKUP(B215,Sheet2!A:A,Sheet2!C:C,"Missing",0),200)</f>
        <v>Missing</v>
      </c>
      <c r="E215" s="9" t="str">
        <f>IFERROR(_xlfn.XLOOKUP(B215,Sheet2!A:A,Sheet2!D:D,"Missing",0),200)</f>
        <v>Missing</v>
      </c>
      <c r="F215" s="9" t="s">
        <v>879</v>
      </c>
    </row>
    <row r="216" spans="1:6" x14ac:dyDescent="0.2">
      <c r="A216" s="6" t="s">
        <v>843</v>
      </c>
      <c r="B216" s="8" t="str" cm="1">
        <f t="array" ref="B216">INDEX(_xlfn.TEXTSPLIT(A216,","),1)</f>
        <v>monster musume</v>
      </c>
      <c r="C216" s="10" t="str">
        <f>IFERROR(_xlfn.XLOOKUP(B216,Sheet2!A:A,Sheet2!B:B,"Missing",0),200)</f>
        <v>Missing</v>
      </c>
      <c r="D216" s="9" t="str">
        <f>IFERROR(_xlfn.XLOOKUP(B216,Sheet2!A:A,Sheet2!C:C,"Missing",0),200)</f>
        <v>Missing</v>
      </c>
      <c r="E216" s="9" t="str">
        <f>IFERROR(_xlfn.XLOOKUP(B216,Sheet2!A:A,Sheet2!D:D,"Missing",0),200)</f>
        <v>Missing</v>
      </c>
      <c r="F216" s="9" t="s">
        <v>879</v>
      </c>
    </row>
    <row r="217" spans="1:6" x14ac:dyDescent="0.2">
      <c r="A217" s="6" t="s">
        <v>844</v>
      </c>
      <c r="B217" s="8" t="str" cm="1">
        <f t="array" ref="B217">INDEX(_xlfn.TEXTSPLIT(A217,","),1)</f>
        <v>high school dxd</v>
      </c>
      <c r="C217" s="10" t="str">
        <f>IFERROR(_xlfn.XLOOKUP(B217,Sheet2!A:A,Sheet2!B:B,"Missing",0),200)</f>
        <v>Missing</v>
      </c>
      <c r="D217" s="9" t="str">
        <f>IFERROR(_xlfn.XLOOKUP(B217,Sheet2!A:A,Sheet2!C:C,"Missing",0),200)</f>
        <v>Missing</v>
      </c>
      <c r="E217" s="9" t="str">
        <f>IFERROR(_xlfn.XLOOKUP(B217,Sheet2!A:A,Sheet2!D:D,"Missing",0),200)</f>
        <v>Missing</v>
      </c>
      <c r="F217" s="9" t="s">
        <v>879</v>
      </c>
    </row>
    <row r="218" spans="1:6" x14ac:dyDescent="0.2">
      <c r="A218" s="6" t="s">
        <v>845</v>
      </c>
      <c r="B218" s="8" t="str" cm="1">
        <f t="array" ref="B218">INDEX(_xlfn.TEXTSPLIT(A218,","),1)</f>
        <v>rias gremory</v>
      </c>
      <c r="C218" s="10" t="str">
        <f>IFERROR(_xlfn.XLOOKUP(B218,Sheet2!A:A,Sheet2!B:B,"Missing",0),200)</f>
        <v>Missing</v>
      </c>
      <c r="D218" s="9" t="str">
        <f>IFERROR(_xlfn.XLOOKUP(B218,Sheet2!A:A,Sheet2!C:C,"Missing",0),200)</f>
        <v>Missing</v>
      </c>
      <c r="E218" s="9" t="str">
        <f>IFERROR(_xlfn.XLOOKUP(B218,Sheet2!A:A,Sheet2!D:D,"Missing",0),200)</f>
        <v>Missing</v>
      </c>
      <c r="F218" s="9" t="s">
        <v>879</v>
      </c>
    </row>
    <row r="219" spans="1:6" x14ac:dyDescent="0.2">
      <c r="A219" s="6" t="s">
        <v>846</v>
      </c>
      <c r="B219" s="8" t="str" cm="1">
        <f t="array" ref="B219">INDEX(_xlfn.TEXTSPLIT(A219,","),1)</f>
        <v>akeno himejima</v>
      </c>
      <c r="C219" s="10" t="str">
        <f>IFERROR(_xlfn.XLOOKUP(B219,Sheet2!A:A,Sheet2!B:B,"Missing",0),200)</f>
        <v>Missing</v>
      </c>
      <c r="D219" s="9" t="str">
        <f>IFERROR(_xlfn.XLOOKUP(B219,Sheet2!A:A,Sheet2!C:C,"Missing",0),200)</f>
        <v>Missing</v>
      </c>
      <c r="E219" s="9" t="str">
        <f>IFERROR(_xlfn.XLOOKUP(B219,Sheet2!A:A,Sheet2!D:D,"Missing",0),200)</f>
        <v>Missing</v>
      </c>
      <c r="F219" s="9" t="s">
        <v>879</v>
      </c>
    </row>
    <row r="220" spans="1:6" x14ac:dyDescent="0.2">
      <c r="A220" s="6" t="s">
        <v>848</v>
      </c>
      <c r="B220" s="8" t="str" cm="1">
        <f t="array" ref="B220">INDEX(_xlfn.TEXTSPLIT(A220,","),1)</f>
        <v>kemono friends</v>
      </c>
      <c r="C220" s="10" t="str">
        <f>IFERROR(_xlfn.XLOOKUP(B220,Sheet2!A:A,Sheet2!B:B,"Missing",0),200)</f>
        <v>Missing</v>
      </c>
      <c r="D220" s="9" t="str">
        <f>IFERROR(_xlfn.XLOOKUP(B220,Sheet2!A:A,Sheet2!C:C,"Missing",0),200)</f>
        <v>Missing</v>
      </c>
      <c r="E220" s="9" t="str">
        <f>IFERROR(_xlfn.XLOOKUP(B220,Sheet2!A:A,Sheet2!D:D,"Missing",0),200)</f>
        <v>Missing</v>
      </c>
      <c r="F220" s="9" t="s">
        <v>879</v>
      </c>
    </row>
    <row r="221" spans="1:6" x14ac:dyDescent="0.2">
      <c r="A221" s="6" t="s">
        <v>849</v>
      </c>
      <c r="B221" s="8" t="str" cm="1">
        <f t="array" ref="B221">INDEX(_xlfn.TEXTSPLIT(A221,","),1)</f>
        <v>beastars</v>
      </c>
      <c r="C221" s="10" t="str">
        <f>IFERROR(_xlfn.XLOOKUP(B221,Sheet2!A:A,Sheet2!B:B,"Missing",0),200)</f>
        <v>Missing</v>
      </c>
      <c r="D221" s="9" t="str">
        <f>IFERROR(_xlfn.XLOOKUP(B221,Sheet2!A:A,Sheet2!C:C,"Missing",0),200)</f>
        <v>Missing</v>
      </c>
      <c r="E221" s="9" t="str">
        <f>IFERROR(_xlfn.XLOOKUP(B221,Sheet2!A:A,Sheet2!D:D,"Missing",0),200)</f>
        <v>Missing</v>
      </c>
      <c r="F221" s="9" t="s">
        <v>879</v>
      </c>
    </row>
    <row r="222" spans="1:6" x14ac:dyDescent="0.2">
      <c r="A222" s="6" t="s">
        <v>850</v>
      </c>
      <c r="B222" s="8" t="str" cm="1">
        <f t="array" ref="B222">INDEX(_xlfn.TEXTSPLIT(A222,","),1)</f>
        <v>haru beastars</v>
      </c>
      <c r="C222" s="10" t="str">
        <f>IFERROR(_xlfn.XLOOKUP(B222,Sheet2!A:A,Sheet2!B:B,"Missing",0),200)</f>
        <v>Missing</v>
      </c>
      <c r="D222" s="9" t="str">
        <f>IFERROR(_xlfn.XLOOKUP(B222,Sheet2!A:A,Sheet2!C:C,"Missing",0),200)</f>
        <v>Missing</v>
      </c>
      <c r="E222" s="9" t="str">
        <f>IFERROR(_xlfn.XLOOKUP(B222,Sheet2!A:A,Sheet2!D:D,"Missing",0),200)</f>
        <v>Missing</v>
      </c>
      <c r="F222" s="9" t="str">
        <f>IFERROR(_xlfn.XLOOKUP(C222,Sheet2!B:B,Sheet2!E:E,"Missing",0),200)</f>
        <v>Missing</v>
      </c>
    </row>
    <row r="223" spans="1:6" x14ac:dyDescent="0.2">
      <c r="A223" s="6" t="s">
        <v>851</v>
      </c>
      <c r="B223" s="8" t="str" cm="1">
        <f t="array" ref="B223">INDEX(_xlfn.TEXTSPLIT(A223,","),1)</f>
        <v>juvia lockser</v>
      </c>
      <c r="C223" s="10" t="str">
        <f>IFERROR(_xlfn.XLOOKUP(B223,Sheet2!A:A,Sheet2!B:B,"Missing",0),200)</f>
        <v>Missing</v>
      </c>
      <c r="D223" s="9" t="str">
        <f>IFERROR(_xlfn.XLOOKUP(B223,Sheet2!A:A,Sheet2!C:C,"Missing",0),200)</f>
        <v>Missing</v>
      </c>
      <c r="E223" s="9" t="str">
        <f>IFERROR(_xlfn.XLOOKUP(B223,Sheet2!A:A,Sheet2!D:D,"Missing",0),200)</f>
        <v>Missing</v>
      </c>
      <c r="F223" s="9" t="str">
        <f>IFERROR(_xlfn.XLOOKUP(C223,Sheet2!B:B,Sheet2!E:E,"Missing",0),200)</f>
        <v>Missing</v>
      </c>
    </row>
    <row r="224" spans="1:6" x14ac:dyDescent="0.2">
      <c r="A224" s="6" t="s">
        <v>852</v>
      </c>
      <c r="B224" s="8" t="str" cm="1">
        <f t="array" ref="B224">INDEX(_xlfn.TEXTSPLIT(A224,","),1)</f>
        <v>yoko littner</v>
      </c>
      <c r="C224" s="10" t="str">
        <f>IFERROR(_xlfn.XLOOKUP(B224,Sheet2!A:A,Sheet2!B:B,"Missing",0),200)</f>
        <v>Missing</v>
      </c>
      <c r="D224" s="9" t="str">
        <f>IFERROR(_xlfn.XLOOKUP(B224,Sheet2!A:A,Sheet2!C:C,"Missing",0),200)</f>
        <v>Missing</v>
      </c>
      <c r="E224" s="9" t="str">
        <f>IFERROR(_xlfn.XLOOKUP(B224,Sheet2!A:A,Sheet2!D:D,"Missing",0),200)</f>
        <v>Missing</v>
      </c>
      <c r="F224" s="9" t="str">
        <f>IFERROR(_xlfn.XLOOKUP(C224,Sheet2!B:B,Sheet2!E:E,"Missing",0),200)</f>
        <v>Missing</v>
      </c>
    </row>
    <row r="225" spans="1:6" x14ac:dyDescent="0.2">
      <c r="A225" s="6" t="s">
        <v>853</v>
      </c>
      <c r="B225" s="8" t="str" cm="1">
        <f t="array" ref="B225">INDEX(_xlfn.TEXTSPLIT(A225,","),1)</f>
        <v>gurren lagann</v>
      </c>
      <c r="C225" s="10" t="str">
        <f>IFERROR(_xlfn.XLOOKUP(B225,Sheet2!A:A,Sheet2!B:B,"Missing",0),200)</f>
        <v>Missing</v>
      </c>
      <c r="D225" s="9" t="str">
        <f>IFERROR(_xlfn.XLOOKUP(B225,Sheet2!A:A,Sheet2!C:C,"Missing",0),200)</f>
        <v>Missing</v>
      </c>
      <c r="E225" s="9" t="str">
        <f>IFERROR(_xlfn.XLOOKUP(B225,Sheet2!A:A,Sheet2!D:D,"Missing",0),200)</f>
        <v>Missing</v>
      </c>
      <c r="F225" s="9" t="str">
        <f>IFERROR(_xlfn.XLOOKUP(C225,Sheet2!B:B,Sheet2!E:E,"Missing",0),200)</f>
        <v>Missing</v>
      </c>
    </row>
    <row r="226" spans="1:6" x14ac:dyDescent="0.2">
      <c r="A226" s="6" t="s">
        <v>854</v>
      </c>
      <c r="B226" s="8" t="str" cm="1">
        <f t="array" ref="B226">INDEX(_xlfn.TEXTSPLIT(A226,","),1)</f>
        <v>rem re zero</v>
      </c>
      <c r="C226" s="10" t="str">
        <f>IFERROR(_xlfn.XLOOKUP(B226,Sheet2!A:A,Sheet2!B:B,"Missing",0),200)</f>
        <v>Missing</v>
      </c>
      <c r="D226" s="9" t="str">
        <f>IFERROR(_xlfn.XLOOKUP(B226,Sheet2!A:A,Sheet2!C:C,"Missing",0),200)</f>
        <v>Missing</v>
      </c>
      <c r="E226" s="9" t="str">
        <f>IFERROR(_xlfn.XLOOKUP(B226,Sheet2!A:A,Sheet2!D:D,"Missing",0),200)</f>
        <v>Missing</v>
      </c>
      <c r="F226" s="9" t="str">
        <f>IFERROR(_xlfn.XLOOKUP(C226,Sheet2!B:B,Sheet2!E:E,"Missing",0),200)</f>
        <v>Missing</v>
      </c>
    </row>
    <row r="227" spans="1:6" x14ac:dyDescent="0.2">
      <c r="A227" s="6" t="s">
        <v>855</v>
      </c>
      <c r="B227" s="8" t="str" cm="1">
        <f t="array" ref="B227">INDEX(_xlfn.TEXTSPLIT(A227,","),1)</f>
        <v>re zero</v>
      </c>
      <c r="C227" s="10" t="str">
        <f>IFERROR(_xlfn.XLOOKUP(B227,Sheet2!A:A,Sheet2!B:B,"Missing",0),200)</f>
        <v>Missing</v>
      </c>
      <c r="D227" s="9" t="str">
        <f>IFERROR(_xlfn.XLOOKUP(B227,Sheet2!A:A,Sheet2!C:C,"Missing",0),200)</f>
        <v>Missing</v>
      </c>
      <c r="E227" s="9" t="str">
        <f>IFERROR(_xlfn.XLOOKUP(B227,Sheet2!A:A,Sheet2!D:D,"Missing",0),200)</f>
        <v>Missing</v>
      </c>
      <c r="F227" s="9" t="str">
        <f>IFERROR(_xlfn.XLOOKUP(C227,Sheet2!B:B,Sheet2!E:E,"Missing",0),200)</f>
        <v>Missing</v>
      </c>
    </row>
    <row r="228" spans="1:6" x14ac:dyDescent="0.2">
      <c r="A228" s="6" t="s">
        <v>856</v>
      </c>
      <c r="B228" s="8" t="str" cm="1">
        <f t="array" ref="B228">INDEX(_xlfn.TEXTSPLIT(A228,","),1)</f>
        <v>emilia rezero</v>
      </c>
      <c r="C228" s="10" t="str">
        <f>IFERROR(_xlfn.XLOOKUP(B228,Sheet2!A:A,Sheet2!B:B,"Missing",0),200)</f>
        <v>Missing</v>
      </c>
      <c r="D228" s="9" t="str">
        <f>IFERROR(_xlfn.XLOOKUP(B228,Sheet2!A:A,Sheet2!C:C,"Missing",0),200)</f>
        <v>Missing</v>
      </c>
      <c r="E228" s="9" t="str">
        <f>IFERROR(_xlfn.XLOOKUP(B228,Sheet2!A:A,Sheet2!D:D,"Missing",0),200)</f>
        <v>Missing</v>
      </c>
      <c r="F228" s="9" t="str">
        <f>IFERROR(_xlfn.XLOOKUP(C228,Sheet2!B:B,Sheet2!E:E,"Missing",0),200)</f>
        <v>Missing</v>
      </c>
    </row>
    <row r="229" spans="1:6" x14ac:dyDescent="0.2">
      <c r="A229" s="6" t="s">
        <v>857</v>
      </c>
      <c r="B229" s="8" t="str" cm="1">
        <f t="array" ref="B229">INDEX(_xlfn.TEXTSPLIT(A229,","),1)</f>
        <v>konosuba</v>
      </c>
      <c r="C229" s="10" t="str">
        <f>IFERROR(_xlfn.XLOOKUP(B229,Sheet2!A:A,Sheet2!B:B,"Missing",0),200)</f>
        <v>Missing</v>
      </c>
      <c r="D229" s="9" t="str">
        <f>IFERROR(_xlfn.XLOOKUP(B229,Sheet2!A:A,Sheet2!C:C,"Missing",0),200)</f>
        <v>Missing</v>
      </c>
      <c r="E229" s="9" t="str">
        <f>IFERROR(_xlfn.XLOOKUP(B229,Sheet2!A:A,Sheet2!D:D,"Missing",0),200)</f>
        <v>Missing</v>
      </c>
      <c r="F229" s="9" t="str">
        <f>IFERROR(_xlfn.XLOOKUP(C229,Sheet2!B:B,Sheet2!E:E,"Missing",0),200)</f>
        <v>Missing</v>
      </c>
    </row>
    <row r="230" spans="1:6" x14ac:dyDescent="0.2">
      <c r="A230" s="6" t="s">
        <v>858</v>
      </c>
      <c r="B230" s="8" t="str" cm="1">
        <f t="array" ref="B230">INDEX(_xlfn.TEXTSPLIT(A230,","),1)</f>
        <v>megumin</v>
      </c>
      <c r="C230" s="10" t="str">
        <f>IFERROR(_xlfn.XLOOKUP(B230,Sheet2!A:A,Sheet2!B:B,"Missing",0),200)</f>
        <v>Missing</v>
      </c>
      <c r="D230" s="9" t="str">
        <f>IFERROR(_xlfn.XLOOKUP(B230,Sheet2!A:A,Sheet2!C:C,"Missing",0),200)</f>
        <v>Missing</v>
      </c>
      <c r="E230" s="9" t="str">
        <f>IFERROR(_xlfn.XLOOKUP(B230,Sheet2!A:A,Sheet2!D:D,"Missing",0),200)</f>
        <v>Missing</v>
      </c>
      <c r="F230" s="9" t="str">
        <f>IFERROR(_xlfn.XLOOKUP(C230,Sheet2!B:B,Sheet2!E:E,"Missing",0),200)</f>
        <v>Missing</v>
      </c>
    </row>
    <row r="231" spans="1:6" x14ac:dyDescent="0.2">
      <c r="A231" s="6" t="s">
        <v>859</v>
      </c>
      <c r="B231" s="8" t="str" cm="1">
        <f t="array" ref="B231">INDEX(_xlfn.TEXTSPLIT(A231,","),1)</f>
        <v>aqua konosuba</v>
      </c>
      <c r="C231" s="10" t="str">
        <f>IFERROR(_xlfn.XLOOKUP(B231,Sheet2!A:A,Sheet2!B:B,"Missing",0),200)</f>
        <v>Missing</v>
      </c>
      <c r="D231" s="9" t="str">
        <f>IFERROR(_xlfn.XLOOKUP(B231,Sheet2!A:A,Sheet2!C:C,"Missing",0),200)</f>
        <v>Missing</v>
      </c>
      <c r="E231" s="9" t="str">
        <f>IFERROR(_xlfn.XLOOKUP(B231,Sheet2!A:A,Sheet2!D:D,"Missing",0),200)</f>
        <v>Missing</v>
      </c>
      <c r="F231" s="9" t="str">
        <f>IFERROR(_xlfn.XLOOKUP(C231,Sheet2!B:B,Sheet2!E:E,"Missing",0),200)</f>
        <v>Missing</v>
      </c>
    </row>
    <row r="232" spans="1:6" x14ac:dyDescent="0.2">
      <c r="A232" s="6" t="s">
        <v>860</v>
      </c>
      <c r="B232" s="8" t="str" cm="1">
        <f t="array" ref="B232">INDEX(_xlfn.TEXTSPLIT(A232,","),1)</f>
        <v>goblin slayer</v>
      </c>
      <c r="C232" s="10" t="str">
        <f>IFERROR(_xlfn.XLOOKUP(B232,Sheet2!A:A,Sheet2!B:B,"Missing",0),200)</f>
        <v>Missing</v>
      </c>
      <c r="D232" s="9" t="str">
        <f>IFERROR(_xlfn.XLOOKUP(B232,Sheet2!A:A,Sheet2!C:C,"Missing",0),200)</f>
        <v>Missing</v>
      </c>
      <c r="E232" s="9" t="str">
        <f>IFERROR(_xlfn.XLOOKUP(B232,Sheet2!A:A,Sheet2!D:D,"Missing",0),200)</f>
        <v>Missing</v>
      </c>
      <c r="F232" s="9" t="str">
        <f>IFERROR(_xlfn.XLOOKUP(C232,Sheet2!B:B,Sheet2!E:E,"Missing",0),200)</f>
        <v>Missing</v>
      </c>
    </row>
    <row r="233" spans="1:6" x14ac:dyDescent="0.2">
      <c r="A233" s="6" t="s">
        <v>861</v>
      </c>
      <c r="B233" s="8" t="str" cm="1">
        <f t="array" ref="B233">INDEX(_xlfn.TEXTSPLIT(A233,","),1)</f>
        <v>cow girl goblin slayer</v>
      </c>
      <c r="C233" s="10" t="str">
        <f>IFERROR(_xlfn.XLOOKUP(B233,Sheet2!A:A,Sheet2!B:B,"Missing",0),200)</f>
        <v>Missing</v>
      </c>
      <c r="D233" s="9" t="str">
        <f>IFERROR(_xlfn.XLOOKUP(B233,Sheet2!A:A,Sheet2!C:C,"Missing",0),200)</f>
        <v>Missing</v>
      </c>
      <c r="E233" s="9" t="str">
        <f>IFERROR(_xlfn.XLOOKUP(B233,Sheet2!A:A,Sheet2!D:D,"Missing",0),200)</f>
        <v>Missing</v>
      </c>
      <c r="F233" s="9" t="str">
        <f>IFERROR(_xlfn.XLOOKUP(C233,Sheet2!B:B,Sheet2!E:E,"Missing",0),200)</f>
        <v>Missing</v>
      </c>
    </row>
    <row r="234" spans="1:6" x14ac:dyDescent="0.2">
      <c r="A234" s="6" t="s">
        <v>862</v>
      </c>
      <c r="B234" s="8" t="str" cm="1">
        <f t="array" ref="B234">INDEX(_xlfn.TEXTSPLIT(A234,","),1)</f>
        <v>priestess goblin slayer</v>
      </c>
      <c r="C234" s="10" t="str">
        <f>IFERROR(_xlfn.XLOOKUP(B234,Sheet2!A:A,Sheet2!B:B,"Missing",0),200)</f>
        <v>Missing</v>
      </c>
      <c r="D234" s="9" t="str">
        <f>IFERROR(_xlfn.XLOOKUP(B234,Sheet2!A:A,Sheet2!C:C,"Missing",0),200)</f>
        <v>Missing</v>
      </c>
      <c r="E234" s="9" t="str">
        <f>IFERROR(_xlfn.XLOOKUP(B234,Sheet2!A:A,Sheet2!D:D,"Missing",0),200)</f>
        <v>Missing</v>
      </c>
      <c r="F234" s="9" t="str">
        <f>IFERROR(_xlfn.XLOOKUP(C234,Sheet2!B:B,Sheet2!E:E,"Missing",0),200)</f>
        <v>Missing</v>
      </c>
    </row>
    <row r="235" spans="1:6" x14ac:dyDescent="0.2">
      <c r="A235" s="6" t="s">
        <v>864</v>
      </c>
      <c r="B235" s="8" t="str" cm="1">
        <f t="array" ref="B235">INDEX(_xlfn.TEXTSPLIT(A235,","),1)</f>
        <v>anna frozen</v>
      </c>
      <c r="C235" s="10" t="str">
        <f>IFERROR(_xlfn.XLOOKUP(B235,Sheet2!A:A,Sheet2!B:B,"Missing",0),200)</f>
        <v>Missing</v>
      </c>
      <c r="D235" s="9" t="str">
        <f>IFERROR(_xlfn.XLOOKUP(B235,Sheet2!A:A,Sheet2!C:C,"Missing",0),200)</f>
        <v>Missing</v>
      </c>
      <c r="E235" s="9" t="str">
        <f>IFERROR(_xlfn.XLOOKUP(B235,Sheet2!A:A,Sheet2!D:D,"Missing",0),200)</f>
        <v>Missing</v>
      </c>
      <c r="F235" s="9" t="s">
        <v>879</v>
      </c>
    </row>
    <row r="236" spans="1:6" x14ac:dyDescent="0.2">
      <c r="A236" s="6" t="s">
        <v>865</v>
      </c>
      <c r="B236" s="8" t="str" cm="1">
        <f t="array" ref="B236">INDEX(_xlfn.TEXTSPLIT(A236,","),1)</f>
        <v>rapunzel</v>
      </c>
      <c r="C236" s="10" t="str">
        <f>IFERROR(_xlfn.XLOOKUP(B236,Sheet2!A:A,Sheet2!B:B,"Missing",0),200)</f>
        <v>Missing</v>
      </c>
      <c r="D236" s="9" t="str">
        <f>IFERROR(_xlfn.XLOOKUP(B236,Sheet2!A:A,Sheet2!C:C,"Missing",0),200)</f>
        <v>Missing</v>
      </c>
      <c r="E236" s="9" t="str">
        <f>IFERROR(_xlfn.XLOOKUP(B236,Sheet2!A:A,Sheet2!D:D,"Missing",0),200)</f>
        <v>Missing</v>
      </c>
      <c r="F236" s="9" t="s">
        <v>879</v>
      </c>
    </row>
    <row r="237" spans="1:6" x14ac:dyDescent="0.2">
      <c r="A237" s="6" t="s">
        <v>867</v>
      </c>
      <c r="B237" s="8" t="str" cm="1">
        <f t="array" ref="B237">INDEX(_xlfn.TEXTSPLIT(A237,","),1)</f>
        <v>ariel little mermaid</v>
      </c>
      <c r="C237" s="10" t="str">
        <f>IFERROR(_xlfn.XLOOKUP(B237,Sheet2!A:A,Sheet2!B:B,"Missing",0),200)</f>
        <v>Missing</v>
      </c>
      <c r="D237" s="9" t="str">
        <f>IFERROR(_xlfn.XLOOKUP(B237,Sheet2!A:A,Sheet2!C:C,"Missing",0),200)</f>
        <v>Missing</v>
      </c>
      <c r="E237" s="9" t="str">
        <f>IFERROR(_xlfn.XLOOKUP(B237,Sheet2!A:A,Sheet2!D:D,"Missing",0),200)</f>
        <v>Missing</v>
      </c>
      <c r="F237" s="9" t="s">
        <v>879</v>
      </c>
    </row>
    <row r="238" spans="1:6" x14ac:dyDescent="0.2">
      <c r="A238" s="6" t="s">
        <v>868</v>
      </c>
      <c r="B238" s="8" t="str" cm="1">
        <f t="array" ref="B238">INDEX(_xlfn.TEXTSPLIT(A238,","),1)</f>
        <v>jasmine aladdin</v>
      </c>
      <c r="C238" s="10" t="str">
        <f>IFERROR(_xlfn.XLOOKUP(B238,Sheet2!A:A,Sheet2!B:B,"Missing",0),200)</f>
        <v>Missing</v>
      </c>
      <c r="D238" s="9" t="str">
        <f>IFERROR(_xlfn.XLOOKUP(B238,Sheet2!A:A,Sheet2!C:C,"Missing",0),200)</f>
        <v>Missing</v>
      </c>
      <c r="E238" s="9" t="str">
        <f>IFERROR(_xlfn.XLOOKUP(B238,Sheet2!A:A,Sheet2!D:D,"Missing",0),200)</f>
        <v>Missing</v>
      </c>
      <c r="F238" s="9" t="s">
        <v>879</v>
      </c>
    </row>
    <row r="239" spans="1:6" x14ac:dyDescent="0.2">
      <c r="A239" s="6" t="s">
        <v>869</v>
      </c>
      <c r="B239" s="8" t="str" cm="1">
        <f t="array" ref="B239">INDEX(_xlfn.TEXTSPLIT(A239,","),1)</f>
        <v>belle beauty and the beast</v>
      </c>
      <c r="C239" s="10" t="str">
        <f>IFERROR(_xlfn.XLOOKUP(B239,Sheet2!A:A,Sheet2!B:B,"Missing",0),200)</f>
        <v>Missing</v>
      </c>
      <c r="D239" s="9" t="str">
        <f>IFERROR(_xlfn.XLOOKUP(B239,Sheet2!A:A,Sheet2!C:C,"Missing",0),200)</f>
        <v>Missing</v>
      </c>
      <c r="E239" s="9" t="str">
        <f>IFERROR(_xlfn.XLOOKUP(B239,Sheet2!A:A,Sheet2!D:D,"Missing",0),200)</f>
        <v>Missing</v>
      </c>
      <c r="F239" s="9" t="s">
        <v>879</v>
      </c>
    </row>
    <row r="240" spans="1:6" x14ac:dyDescent="0.2">
      <c r="A240" s="6" t="s">
        <v>870</v>
      </c>
      <c r="B240" s="8" t="str" cm="1">
        <f t="array" ref="B240">INDEX(_xlfn.TEXTSPLIT(A240,","),1)</f>
        <v>meg hercules</v>
      </c>
      <c r="C240" s="10" t="str">
        <f>IFERROR(_xlfn.XLOOKUP(B240,Sheet2!A:A,Sheet2!B:B,"Missing",0),200)</f>
        <v>Missing</v>
      </c>
      <c r="D240" s="9" t="str">
        <f>IFERROR(_xlfn.XLOOKUP(B240,Sheet2!A:A,Sheet2!C:C,"Missing",0),200)</f>
        <v>Missing</v>
      </c>
      <c r="E240" s="9" t="str">
        <f>IFERROR(_xlfn.XLOOKUP(B240,Sheet2!A:A,Sheet2!D:D,"Missing",0),200)</f>
        <v>Missing</v>
      </c>
      <c r="F240" s="9" t="s">
        <v>879</v>
      </c>
    </row>
    <row r="241" spans="1:6" x14ac:dyDescent="0.2">
      <c r="A241" s="6" t="s">
        <v>871</v>
      </c>
      <c r="B241" s="8" t="str" cm="1">
        <f t="array" ref="B241">INDEX(_xlfn.TEXTSPLIT(A241,","),1)</f>
        <v>tinkerbell</v>
      </c>
      <c r="C241" s="10" t="str">
        <f>IFERROR(_xlfn.XLOOKUP(B241,Sheet2!A:A,Sheet2!B:B,"Missing",0),200)</f>
        <v>Missing</v>
      </c>
      <c r="D241" s="9" t="str">
        <f>IFERROR(_xlfn.XLOOKUP(B241,Sheet2!A:A,Sheet2!C:C,"Missing",0),200)</f>
        <v>Missing</v>
      </c>
      <c r="E241" s="9" t="str">
        <f>IFERROR(_xlfn.XLOOKUP(B241,Sheet2!A:A,Sheet2!D:D,"Missing",0),200)</f>
        <v>Missing</v>
      </c>
      <c r="F241" s="9" t="s">
        <v>879</v>
      </c>
    </row>
    <row r="242" spans="1:6" x14ac:dyDescent="0.2">
      <c r="A242" s="6" t="s">
        <v>872</v>
      </c>
      <c r="B242" s="8" t="str" cm="1">
        <f t="array" ref="B242">INDEX(_xlfn.TEXTSPLIT(A242,","),1)</f>
        <v>lola bunny</v>
      </c>
      <c r="C242" s="10" t="str">
        <f>IFERROR(_xlfn.XLOOKUP(B242,Sheet2!A:A,Sheet2!B:B,"Missing",0),200)</f>
        <v>Missing</v>
      </c>
      <c r="D242" s="9" t="str">
        <f>IFERROR(_xlfn.XLOOKUP(B242,Sheet2!A:A,Sheet2!C:C,"Missing",0),200)</f>
        <v>Missing</v>
      </c>
      <c r="E242" s="9" t="str">
        <f>IFERROR(_xlfn.XLOOKUP(B242,Sheet2!A:A,Sheet2!D:D,"Missing",0),200)</f>
        <v>Missing</v>
      </c>
      <c r="F242" s="9" t="s">
        <v>879</v>
      </c>
    </row>
    <row r="243" spans="1:6" x14ac:dyDescent="0.2">
      <c r="A243" s="6" t="s">
        <v>873</v>
      </c>
      <c r="B243" s="8" t="str" cm="1">
        <f t="array" ref="B243">INDEX(_xlfn.TEXTSPLIT(A243,","),1)</f>
        <v>jessica rabbit</v>
      </c>
      <c r="C243" s="10" t="str">
        <f>IFERROR(_xlfn.XLOOKUP(B243,Sheet2!A:A,Sheet2!B:B,"Missing",0),200)</f>
        <v>Missing</v>
      </c>
      <c r="D243" s="9" t="str">
        <f>IFERROR(_xlfn.XLOOKUP(B243,Sheet2!A:A,Sheet2!C:C,"Missing",0),200)</f>
        <v>Missing</v>
      </c>
      <c r="E243" s="9" t="str">
        <f>IFERROR(_xlfn.XLOOKUP(B243,Sheet2!A:A,Sheet2!D:D,"Missing",0),200)</f>
        <v>Missing</v>
      </c>
      <c r="F243" s="9" t="s">
        <v>879</v>
      </c>
    </row>
    <row r="244" spans="1:6" x14ac:dyDescent="0.2">
      <c r="A244" s="6" t="s">
        <v>874</v>
      </c>
      <c r="B244" s="8" t="str" cm="1">
        <f t="array" ref="B244">INDEX(_xlfn.TEXTSPLIT(A244,","),1)</f>
        <v>ai porn</v>
      </c>
      <c r="C244" s="10" t="str">
        <f>IFERROR(_xlfn.XLOOKUP(B244,Sheet2!A:A,Sheet2!B:B,"Missing",0),200)</f>
        <v>Missing</v>
      </c>
      <c r="D244" s="9" t="str">
        <f>IFERROR(_xlfn.XLOOKUP(B244,Sheet2!A:A,Sheet2!C:C,"Missing",0),200)</f>
        <v>Missing</v>
      </c>
      <c r="E244" s="9" t="str">
        <f>IFERROR(_xlfn.XLOOKUP(B244,Sheet2!A:A,Sheet2!D:D,"Missing",0),200)</f>
        <v>Missing</v>
      </c>
      <c r="F244" s="9" t="str">
        <f>IFERROR(_xlfn.XLOOKUP(C244,Sheet2!B:B,Sheet2!E:E,"Missing",0),200)</f>
        <v>Missing</v>
      </c>
    </row>
    <row r="245" spans="1:6" x14ac:dyDescent="0.2">
      <c r="A245" s="6" t="s">
        <v>875</v>
      </c>
      <c r="B245" s="8" t="str" cm="1">
        <f t="array" ref="B245">INDEX(_xlfn.TEXTSPLIT(A245,","),1)</f>
        <v>ai hentai</v>
      </c>
      <c r="C245" s="10" t="str">
        <f>IFERROR(_xlfn.XLOOKUP(B245,Sheet2!A:A,Sheet2!B:B,"Missing",0),200)</f>
        <v>Missing</v>
      </c>
      <c r="D245" s="9" t="str">
        <f>IFERROR(_xlfn.XLOOKUP(B245,Sheet2!A:A,Sheet2!C:C,"Missing",0),200)</f>
        <v>Missing</v>
      </c>
      <c r="E245" s="9" t="str">
        <f>IFERROR(_xlfn.XLOOKUP(B245,Sheet2!A:A,Sheet2!D:D,"Missing",0),200)</f>
        <v>Missing</v>
      </c>
      <c r="F245" s="9" t="str">
        <f>IFERROR(_xlfn.XLOOKUP(C245,Sheet2!B:B,Sheet2!E:E,"Missing",0),200)</f>
        <v>Missing</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5818-EF35-3C4F-943A-AAFCF8CD9756}">
  <dimension ref="A1:D245"/>
  <sheetViews>
    <sheetView tabSelected="1" workbookViewId="0">
      <selection activeCell="A26" sqref="A26"/>
    </sheetView>
  </sheetViews>
  <sheetFormatPr baseColWidth="10" defaultRowHeight="16" x14ac:dyDescent="0.2"/>
  <cols>
    <col min="1" max="1" width="28.83203125" customWidth="1"/>
    <col min="2" max="2" width="19" style="8" customWidth="1"/>
  </cols>
  <sheetData>
    <row r="1" spans="1:2" x14ac:dyDescent="0.2">
      <c r="A1" t="s">
        <v>631</v>
      </c>
      <c r="B1" s="8" t="s">
        <v>876</v>
      </c>
    </row>
    <row r="2" spans="1:2" x14ac:dyDescent="0.2">
      <c r="A2" t="s">
        <v>881</v>
      </c>
      <c r="B2" s="8" t="s">
        <v>602</v>
      </c>
    </row>
    <row r="3" spans="1:2" x14ac:dyDescent="0.2">
      <c r="A3" t="s">
        <v>882</v>
      </c>
      <c r="B3" s="8" t="s">
        <v>549</v>
      </c>
    </row>
    <row r="4" spans="1:2" x14ac:dyDescent="0.2">
      <c r="A4" t="s">
        <v>883</v>
      </c>
      <c r="B4" s="8" t="s">
        <v>518</v>
      </c>
    </row>
    <row r="5" spans="1:2" x14ac:dyDescent="0.2">
      <c r="A5" t="s">
        <v>884</v>
      </c>
      <c r="B5" s="8" t="s">
        <v>469</v>
      </c>
    </row>
    <row r="6" spans="1:2" x14ac:dyDescent="0.2">
      <c r="A6" t="s">
        <v>885</v>
      </c>
      <c r="B6" s="8" t="s">
        <v>578</v>
      </c>
    </row>
    <row r="7" spans="1:2" x14ac:dyDescent="0.2">
      <c r="A7" t="s">
        <v>886</v>
      </c>
      <c r="B7" s="8" t="s">
        <v>531</v>
      </c>
    </row>
    <row r="8" spans="1:2" x14ac:dyDescent="0.2">
      <c r="A8" t="s">
        <v>887</v>
      </c>
      <c r="B8" s="8" t="s">
        <v>543</v>
      </c>
    </row>
    <row r="9" spans="1:2" x14ac:dyDescent="0.2">
      <c r="A9" t="s">
        <v>888</v>
      </c>
      <c r="B9" s="8" t="s">
        <v>517</v>
      </c>
    </row>
    <row r="10" spans="1:2" x14ac:dyDescent="0.2">
      <c r="A10" t="s">
        <v>889</v>
      </c>
      <c r="B10" s="8" t="s">
        <v>580</v>
      </c>
    </row>
    <row r="11" spans="1:2" x14ac:dyDescent="0.2">
      <c r="A11" t="s">
        <v>890</v>
      </c>
      <c r="B11" s="8" t="s">
        <v>569</v>
      </c>
    </row>
    <row r="12" spans="1:2" x14ac:dyDescent="0.2">
      <c r="A12" t="s">
        <v>891</v>
      </c>
      <c r="B12" s="8" t="s">
        <v>601</v>
      </c>
    </row>
    <row r="13" spans="1:2" x14ac:dyDescent="0.2">
      <c r="A13" t="s">
        <v>892</v>
      </c>
      <c r="B13" s="8" t="s">
        <v>521</v>
      </c>
    </row>
    <row r="14" spans="1:2" x14ac:dyDescent="0.2">
      <c r="A14" t="s">
        <v>893</v>
      </c>
      <c r="B14" s="8" t="s">
        <v>503</v>
      </c>
    </row>
    <row r="15" spans="1:2" x14ac:dyDescent="0.2">
      <c r="A15" t="s">
        <v>894</v>
      </c>
      <c r="B15" s="8" t="s">
        <v>535</v>
      </c>
    </row>
    <row r="16" spans="1:2" x14ac:dyDescent="0.2">
      <c r="A16" t="s">
        <v>895</v>
      </c>
      <c r="B16" s="8" t="s">
        <v>562</v>
      </c>
    </row>
    <row r="17" spans="1:2" x14ac:dyDescent="0.2">
      <c r="A17" t="s">
        <v>896</v>
      </c>
      <c r="B17" s="8" t="s">
        <v>515</v>
      </c>
    </row>
    <row r="18" spans="1:2" x14ac:dyDescent="0.2">
      <c r="A18" t="s">
        <v>897</v>
      </c>
      <c r="B18" s="8" t="s">
        <v>538</v>
      </c>
    </row>
    <row r="19" spans="1:2" x14ac:dyDescent="0.2">
      <c r="A19" t="s">
        <v>898</v>
      </c>
      <c r="B19" s="8" t="s">
        <v>545</v>
      </c>
    </row>
    <row r="20" spans="1:2" x14ac:dyDescent="0.2">
      <c r="A20" t="s">
        <v>899</v>
      </c>
      <c r="B20" s="8" t="s">
        <v>573</v>
      </c>
    </row>
    <row r="21" spans="1:2" x14ac:dyDescent="0.2">
      <c r="A21" t="s">
        <v>900</v>
      </c>
      <c r="B21" s="8" t="s">
        <v>507</v>
      </c>
    </row>
    <row r="22" spans="1:2" x14ac:dyDescent="0.2">
      <c r="A22" t="s">
        <v>901</v>
      </c>
      <c r="B22" s="8" t="s">
        <v>560</v>
      </c>
    </row>
    <row r="23" spans="1:2" x14ac:dyDescent="0.2">
      <c r="A23" t="s">
        <v>902</v>
      </c>
      <c r="B23" s="8" t="s">
        <v>608</v>
      </c>
    </row>
    <row r="24" spans="1:2" x14ac:dyDescent="0.2">
      <c r="A24" t="s">
        <v>903</v>
      </c>
      <c r="B24" s="8" t="s">
        <v>576</v>
      </c>
    </row>
    <row r="25" spans="1:2" x14ac:dyDescent="0.2">
      <c r="A25" t="s">
        <v>904</v>
      </c>
      <c r="B25" s="8" t="s">
        <v>533</v>
      </c>
    </row>
    <row r="26" spans="1:2" x14ac:dyDescent="0.2">
      <c r="A26" t="s">
        <v>905</v>
      </c>
      <c r="B26" s="8" t="s">
        <v>568</v>
      </c>
    </row>
    <row r="27" spans="1:2" x14ac:dyDescent="0.2">
      <c r="A27" t="s">
        <v>906</v>
      </c>
      <c r="B27" s="8" t="s">
        <v>516</v>
      </c>
    </row>
    <row r="28" spans="1:2" x14ac:dyDescent="0.2">
      <c r="A28" t="s">
        <v>907</v>
      </c>
      <c r="B28" s="8" t="s">
        <v>470</v>
      </c>
    </row>
    <row r="29" spans="1:2" x14ac:dyDescent="0.2">
      <c r="A29" t="s">
        <v>908</v>
      </c>
      <c r="B29" s="8" t="s">
        <v>482</v>
      </c>
    </row>
    <row r="30" spans="1:2" x14ac:dyDescent="0.2">
      <c r="A30" t="s">
        <v>909</v>
      </c>
      <c r="B30" s="8" t="s">
        <v>474</v>
      </c>
    </row>
    <row r="31" spans="1:2" x14ac:dyDescent="0.2">
      <c r="A31" t="s">
        <v>910</v>
      </c>
      <c r="B31" s="8" t="s">
        <v>597</v>
      </c>
    </row>
    <row r="32" spans="1:2" x14ac:dyDescent="0.2">
      <c r="A32" t="s">
        <v>911</v>
      </c>
      <c r="B32" s="8" t="s">
        <v>477</v>
      </c>
    </row>
    <row r="33" spans="1:4" x14ac:dyDescent="0.2">
      <c r="A33" t="s">
        <v>912</v>
      </c>
      <c r="B33" s="8" t="s">
        <v>556</v>
      </c>
    </row>
    <row r="34" spans="1:4" s="13" customFormat="1" x14ac:dyDescent="0.2">
      <c r="A34" s="13" t="s">
        <v>913</v>
      </c>
      <c r="B34" s="14" t="s">
        <v>495</v>
      </c>
      <c r="D34" s="13" t="s">
        <v>1243</v>
      </c>
    </row>
    <row r="35" spans="1:4" x14ac:dyDescent="0.2">
      <c r="A35" t="s">
        <v>914</v>
      </c>
      <c r="B35" s="8" t="s">
        <v>598</v>
      </c>
    </row>
    <row r="36" spans="1:4" x14ac:dyDescent="0.2">
      <c r="A36" t="s">
        <v>915</v>
      </c>
      <c r="B36" s="8" t="s">
        <v>496</v>
      </c>
    </row>
    <row r="37" spans="1:4" x14ac:dyDescent="0.2">
      <c r="A37" t="s">
        <v>916</v>
      </c>
      <c r="B37" s="8" t="s">
        <v>620</v>
      </c>
    </row>
    <row r="38" spans="1:4" x14ac:dyDescent="0.2">
      <c r="A38" t="s">
        <v>917</v>
      </c>
      <c r="B38" s="8" t="s">
        <v>595</v>
      </c>
    </row>
    <row r="39" spans="1:4" x14ac:dyDescent="0.2">
      <c r="A39" t="s">
        <v>918</v>
      </c>
      <c r="B39" s="8" t="s">
        <v>613</v>
      </c>
    </row>
    <row r="40" spans="1:4" x14ac:dyDescent="0.2">
      <c r="A40" t="s">
        <v>919</v>
      </c>
      <c r="B40" s="8" t="s">
        <v>559</v>
      </c>
    </row>
    <row r="41" spans="1:4" x14ac:dyDescent="0.2">
      <c r="A41" t="s">
        <v>920</v>
      </c>
      <c r="B41" s="8" t="s">
        <v>548</v>
      </c>
    </row>
    <row r="42" spans="1:4" x14ac:dyDescent="0.2">
      <c r="A42" t="s">
        <v>921</v>
      </c>
      <c r="B42" s="8" t="s">
        <v>555</v>
      </c>
    </row>
    <row r="43" spans="1:4" x14ac:dyDescent="0.2">
      <c r="A43" t="s">
        <v>922</v>
      </c>
      <c r="B43" s="8" t="s">
        <v>610</v>
      </c>
    </row>
    <row r="44" spans="1:4" x14ac:dyDescent="0.2">
      <c r="A44" t="s">
        <v>923</v>
      </c>
      <c r="B44" s="8" t="s">
        <v>612</v>
      </c>
    </row>
    <row r="45" spans="1:4" x14ac:dyDescent="0.2">
      <c r="A45" t="s">
        <v>924</v>
      </c>
      <c r="B45" s="8" t="s">
        <v>585</v>
      </c>
    </row>
    <row r="46" spans="1:4" x14ac:dyDescent="0.2">
      <c r="A46" t="s">
        <v>925</v>
      </c>
      <c r="B46" s="8" t="s">
        <v>505</v>
      </c>
    </row>
    <row r="47" spans="1:4" x14ac:dyDescent="0.2">
      <c r="A47" t="s">
        <v>926</v>
      </c>
      <c r="B47" s="8" t="s">
        <v>599</v>
      </c>
    </row>
    <row r="48" spans="1:4" x14ac:dyDescent="0.2">
      <c r="A48" t="s">
        <v>927</v>
      </c>
      <c r="B48" s="8" t="s">
        <v>584</v>
      </c>
    </row>
    <row r="49" spans="1:2" x14ac:dyDescent="0.2">
      <c r="A49" t="s">
        <v>928</v>
      </c>
      <c r="B49" s="8" t="s">
        <v>511</v>
      </c>
    </row>
    <row r="50" spans="1:2" x14ac:dyDescent="0.2">
      <c r="A50" t="s">
        <v>929</v>
      </c>
      <c r="B50" s="8" t="s">
        <v>546</v>
      </c>
    </row>
    <row r="51" spans="1:2" x14ac:dyDescent="0.2">
      <c r="A51" t="s">
        <v>930</v>
      </c>
      <c r="B51" s="8" t="s">
        <v>475</v>
      </c>
    </row>
    <row r="52" spans="1:2" x14ac:dyDescent="0.2">
      <c r="A52" t="s">
        <v>931</v>
      </c>
      <c r="B52" s="8" t="s">
        <v>501</v>
      </c>
    </row>
    <row r="53" spans="1:2" x14ac:dyDescent="0.2">
      <c r="A53" t="s">
        <v>932</v>
      </c>
      <c r="B53" s="8" t="s">
        <v>536</v>
      </c>
    </row>
    <row r="54" spans="1:2" x14ac:dyDescent="0.2">
      <c r="A54" t="s">
        <v>933</v>
      </c>
      <c r="B54" s="8" t="s">
        <v>558</v>
      </c>
    </row>
    <row r="55" spans="1:2" x14ac:dyDescent="0.2">
      <c r="A55" t="s">
        <v>934</v>
      </c>
      <c r="B55" s="8" t="s">
        <v>478</v>
      </c>
    </row>
    <row r="56" spans="1:2" x14ac:dyDescent="0.2">
      <c r="A56" t="s">
        <v>935</v>
      </c>
      <c r="B56" s="8" t="s">
        <v>540</v>
      </c>
    </row>
    <row r="57" spans="1:2" x14ac:dyDescent="0.2">
      <c r="A57" t="s">
        <v>936</v>
      </c>
      <c r="B57" s="8" t="s">
        <v>500</v>
      </c>
    </row>
    <row r="58" spans="1:2" x14ac:dyDescent="0.2">
      <c r="A58" t="s">
        <v>937</v>
      </c>
      <c r="B58" s="8" t="s">
        <v>577</v>
      </c>
    </row>
    <row r="59" spans="1:2" x14ac:dyDescent="0.2">
      <c r="A59" t="s">
        <v>938</v>
      </c>
      <c r="B59" s="8" t="s">
        <v>619</v>
      </c>
    </row>
    <row r="60" spans="1:2" x14ac:dyDescent="0.2">
      <c r="A60" t="s">
        <v>939</v>
      </c>
      <c r="B60" s="8" t="s">
        <v>532</v>
      </c>
    </row>
    <row r="61" spans="1:2" x14ac:dyDescent="0.2">
      <c r="A61" t="s">
        <v>940</v>
      </c>
      <c r="B61" s="8" t="s">
        <v>513</v>
      </c>
    </row>
    <row r="62" spans="1:2" x14ac:dyDescent="0.2">
      <c r="A62" t="s">
        <v>941</v>
      </c>
      <c r="B62" s="8" t="s">
        <v>471</v>
      </c>
    </row>
    <row r="63" spans="1:2" x14ac:dyDescent="0.2">
      <c r="A63" t="s">
        <v>942</v>
      </c>
      <c r="B63" s="8" t="s">
        <v>508</v>
      </c>
    </row>
    <row r="64" spans="1:2" x14ac:dyDescent="0.2">
      <c r="A64" t="s">
        <v>943</v>
      </c>
      <c r="B64" s="8" t="s">
        <v>574</v>
      </c>
    </row>
    <row r="65" spans="1:2" x14ac:dyDescent="0.2">
      <c r="A65" t="s">
        <v>944</v>
      </c>
      <c r="B65" s="8" t="s">
        <v>550</v>
      </c>
    </row>
    <row r="66" spans="1:2" x14ac:dyDescent="0.2">
      <c r="A66" t="s">
        <v>945</v>
      </c>
      <c r="B66" s="8" t="s">
        <v>522</v>
      </c>
    </row>
    <row r="67" spans="1:2" x14ac:dyDescent="0.2">
      <c r="A67" t="s">
        <v>946</v>
      </c>
      <c r="B67" s="8" t="s">
        <v>537</v>
      </c>
    </row>
    <row r="68" spans="1:2" x14ac:dyDescent="0.2">
      <c r="A68" t="s">
        <v>947</v>
      </c>
      <c r="B68" s="8" t="s">
        <v>557</v>
      </c>
    </row>
    <row r="69" spans="1:2" x14ac:dyDescent="0.2">
      <c r="A69" t="s">
        <v>948</v>
      </c>
      <c r="B69" s="8" t="s">
        <v>523</v>
      </c>
    </row>
    <row r="70" spans="1:2" x14ac:dyDescent="0.2">
      <c r="A70" t="s">
        <v>949</v>
      </c>
      <c r="B70" s="8" t="s">
        <v>571</v>
      </c>
    </row>
    <row r="71" spans="1:2" x14ac:dyDescent="0.2">
      <c r="A71" t="s">
        <v>950</v>
      </c>
      <c r="B71" s="8" t="s">
        <v>618</v>
      </c>
    </row>
    <row r="72" spans="1:2" x14ac:dyDescent="0.2">
      <c r="A72" t="s">
        <v>951</v>
      </c>
      <c r="B72" s="8" t="s">
        <v>564</v>
      </c>
    </row>
    <row r="73" spans="1:2" x14ac:dyDescent="0.2">
      <c r="A73" t="s">
        <v>952</v>
      </c>
      <c r="B73" s="8" t="s">
        <v>504</v>
      </c>
    </row>
    <row r="74" spans="1:2" x14ac:dyDescent="0.2">
      <c r="A74" t="s">
        <v>953</v>
      </c>
      <c r="B74" s="8" t="s">
        <v>581</v>
      </c>
    </row>
    <row r="75" spans="1:2" x14ac:dyDescent="0.2">
      <c r="A75" t="s">
        <v>954</v>
      </c>
      <c r="B75" s="8" t="s">
        <v>547</v>
      </c>
    </row>
    <row r="76" spans="1:2" x14ac:dyDescent="0.2">
      <c r="A76" t="s">
        <v>955</v>
      </c>
      <c r="B76" s="8" t="s">
        <v>604</v>
      </c>
    </row>
    <row r="77" spans="1:2" x14ac:dyDescent="0.2">
      <c r="A77" t="s">
        <v>956</v>
      </c>
      <c r="B77" s="8" t="s">
        <v>519</v>
      </c>
    </row>
    <row r="78" spans="1:2" x14ac:dyDescent="0.2">
      <c r="A78" t="s">
        <v>957</v>
      </c>
      <c r="B78" s="8" t="s">
        <v>606</v>
      </c>
    </row>
    <row r="79" spans="1:2" x14ac:dyDescent="0.2">
      <c r="A79" t="s">
        <v>958</v>
      </c>
      <c r="B79" s="8" t="s">
        <v>479</v>
      </c>
    </row>
    <row r="80" spans="1:2" x14ac:dyDescent="0.2">
      <c r="A80" t="s">
        <v>959</v>
      </c>
      <c r="B80" s="8" t="s">
        <v>509</v>
      </c>
    </row>
    <row r="81" spans="1:2" x14ac:dyDescent="0.2">
      <c r="A81" t="s">
        <v>960</v>
      </c>
      <c r="B81" s="8" t="s">
        <v>514</v>
      </c>
    </row>
    <row r="82" spans="1:2" x14ac:dyDescent="0.2">
      <c r="A82" t="s">
        <v>961</v>
      </c>
      <c r="B82" s="8" t="s">
        <v>480</v>
      </c>
    </row>
    <row r="83" spans="1:2" x14ac:dyDescent="0.2">
      <c r="A83" t="s">
        <v>962</v>
      </c>
      <c r="B83" s="8" t="s">
        <v>502</v>
      </c>
    </row>
    <row r="84" spans="1:2" x14ac:dyDescent="0.2">
      <c r="A84" t="s">
        <v>963</v>
      </c>
      <c r="B84" s="8" t="s">
        <v>607</v>
      </c>
    </row>
    <row r="85" spans="1:2" x14ac:dyDescent="0.2">
      <c r="A85" t="s">
        <v>964</v>
      </c>
      <c r="B85" s="8" t="s">
        <v>588</v>
      </c>
    </row>
    <row r="86" spans="1:2" x14ac:dyDescent="0.2">
      <c r="A86" t="s">
        <v>965</v>
      </c>
      <c r="B86" s="8" t="s">
        <v>554</v>
      </c>
    </row>
    <row r="87" spans="1:2" x14ac:dyDescent="0.2">
      <c r="A87" t="s">
        <v>966</v>
      </c>
      <c r="B87" s="8" t="s">
        <v>596</v>
      </c>
    </row>
    <row r="88" spans="1:2" x14ac:dyDescent="0.2">
      <c r="A88" t="s">
        <v>967</v>
      </c>
      <c r="B88" s="8" t="s">
        <v>593</v>
      </c>
    </row>
    <row r="89" spans="1:2" x14ac:dyDescent="0.2">
      <c r="A89" t="s">
        <v>968</v>
      </c>
      <c r="B89" s="8" t="s">
        <v>473</v>
      </c>
    </row>
    <row r="90" spans="1:2" x14ac:dyDescent="0.2">
      <c r="A90" t="s">
        <v>969</v>
      </c>
      <c r="B90" s="8" t="s">
        <v>561</v>
      </c>
    </row>
    <row r="91" spans="1:2" x14ac:dyDescent="0.2">
      <c r="A91" t="s">
        <v>970</v>
      </c>
      <c r="B91" s="8" t="s">
        <v>528</v>
      </c>
    </row>
    <row r="92" spans="1:2" x14ac:dyDescent="0.2">
      <c r="A92" t="s">
        <v>971</v>
      </c>
      <c r="B92" s="8" t="s">
        <v>592</v>
      </c>
    </row>
    <row r="93" spans="1:2" x14ac:dyDescent="0.2">
      <c r="A93" t="s">
        <v>972</v>
      </c>
      <c r="B93" s="8" t="s">
        <v>553</v>
      </c>
    </row>
    <row r="94" spans="1:2" x14ac:dyDescent="0.2">
      <c r="A94" t="s">
        <v>973</v>
      </c>
      <c r="B94" s="8" t="s">
        <v>566</v>
      </c>
    </row>
    <row r="95" spans="1:2" x14ac:dyDescent="0.2">
      <c r="A95" t="s">
        <v>974</v>
      </c>
      <c r="B95" s="8" t="s">
        <v>552</v>
      </c>
    </row>
    <row r="96" spans="1:2" x14ac:dyDescent="0.2">
      <c r="A96" t="s">
        <v>975</v>
      </c>
      <c r="B96" s="8" t="s">
        <v>472</v>
      </c>
    </row>
    <row r="97" spans="1:2" x14ac:dyDescent="0.2">
      <c r="A97" t="s">
        <v>976</v>
      </c>
      <c r="B97" s="8" t="s">
        <v>616</v>
      </c>
    </row>
    <row r="98" spans="1:2" x14ac:dyDescent="0.2">
      <c r="A98" t="s">
        <v>977</v>
      </c>
      <c r="B98" s="8" t="s">
        <v>497</v>
      </c>
    </row>
    <row r="99" spans="1:2" x14ac:dyDescent="0.2">
      <c r="A99" t="s">
        <v>978</v>
      </c>
      <c r="B99" s="8" t="s">
        <v>512</v>
      </c>
    </row>
    <row r="100" spans="1:2" x14ac:dyDescent="0.2">
      <c r="A100" t="s">
        <v>979</v>
      </c>
      <c r="B100" s="8" t="s">
        <v>542</v>
      </c>
    </row>
    <row r="101" spans="1:2" x14ac:dyDescent="0.2">
      <c r="A101" t="s">
        <v>980</v>
      </c>
      <c r="B101" s="8" t="s">
        <v>587</v>
      </c>
    </row>
    <row r="102" spans="1:2" x14ac:dyDescent="0.2">
      <c r="A102" t="s">
        <v>981</v>
      </c>
      <c r="B102" s="8" t="s">
        <v>582</v>
      </c>
    </row>
    <row r="103" spans="1:2" x14ac:dyDescent="0.2">
      <c r="A103" t="s">
        <v>982</v>
      </c>
      <c r="B103" s="8" t="s">
        <v>594</v>
      </c>
    </row>
    <row r="104" spans="1:2" x14ac:dyDescent="0.2">
      <c r="A104" t="s">
        <v>983</v>
      </c>
      <c r="B104" s="8" t="s">
        <v>476</v>
      </c>
    </row>
    <row r="105" spans="1:2" x14ac:dyDescent="0.2">
      <c r="A105" t="s">
        <v>984</v>
      </c>
      <c r="B105" s="8" t="s">
        <v>589</v>
      </c>
    </row>
    <row r="106" spans="1:2" x14ac:dyDescent="0.2">
      <c r="A106" t="s">
        <v>985</v>
      </c>
      <c r="B106" s="8" t="s">
        <v>544</v>
      </c>
    </row>
    <row r="107" spans="1:2" x14ac:dyDescent="0.2">
      <c r="A107" t="s">
        <v>986</v>
      </c>
      <c r="B107" s="8" t="s">
        <v>605</v>
      </c>
    </row>
    <row r="108" spans="1:2" x14ac:dyDescent="0.2">
      <c r="A108" t="s">
        <v>987</v>
      </c>
      <c r="B108" s="8" t="s">
        <v>524</v>
      </c>
    </row>
    <row r="109" spans="1:2" x14ac:dyDescent="0.2">
      <c r="A109" t="s">
        <v>988</v>
      </c>
      <c r="B109" s="8" t="s">
        <v>579</v>
      </c>
    </row>
    <row r="110" spans="1:2" x14ac:dyDescent="0.2">
      <c r="A110" t="s">
        <v>989</v>
      </c>
      <c r="B110" s="8" t="s">
        <v>527</v>
      </c>
    </row>
    <row r="111" spans="1:2" x14ac:dyDescent="0.2">
      <c r="A111" t="s">
        <v>990</v>
      </c>
      <c r="B111" s="8" t="s">
        <v>541</v>
      </c>
    </row>
    <row r="112" spans="1:2" x14ac:dyDescent="0.2">
      <c r="A112" t="s">
        <v>991</v>
      </c>
      <c r="B112" s="8" t="s">
        <v>614</v>
      </c>
    </row>
    <row r="113" spans="1:2" x14ac:dyDescent="0.2">
      <c r="A113" t="s">
        <v>992</v>
      </c>
      <c r="B113" s="8" t="s">
        <v>603</v>
      </c>
    </row>
    <row r="114" spans="1:2" x14ac:dyDescent="0.2">
      <c r="A114" t="s">
        <v>993</v>
      </c>
      <c r="B114" s="8" t="s">
        <v>600</v>
      </c>
    </row>
    <row r="115" spans="1:2" x14ac:dyDescent="0.2">
      <c r="A115" t="s">
        <v>994</v>
      </c>
      <c r="B115" s="8" t="s">
        <v>534</v>
      </c>
    </row>
    <row r="116" spans="1:2" x14ac:dyDescent="0.2">
      <c r="A116" t="s">
        <v>995</v>
      </c>
      <c r="B116" s="8" t="s">
        <v>563</v>
      </c>
    </row>
    <row r="117" spans="1:2" x14ac:dyDescent="0.2">
      <c r="A117" t="s">
        <v>996</v>
      </c>
      <c r="B117" s="8" t="s">
        <v>567</v>
      </c>
    </row>
    <row r="118" spans="1:2" x14ac:dyDescent="0.2">
      <c r="A118" t="s">
        <v>997</v>
      </c>
      <c r="B118" s="8" t="s">
        <v>530</v>
      </c>
    </row>
    <row r="119" spans="1:2" x14ac:dyDescent="0.2">
      <c r="A119" t="s">
        <v>998</v>
      </c>
      <c r="B119" s="8" t="s">
        <v>572</v>
      </c>
    </row>
    <row r="120" spans="1:2" x14ac:dyDescent="0.2">
      <c r="A120" t="s">
        <v>999</v>
      </c>
      <c r="B120" s="8" t="s">
        <v>498</v>
      </c>
    </row>
    <row r="121" spans="1:2" x14ac:dyDescent="0.2">
      <c r="A121" t="s">
        <v>1000</v>
      </c>
      <c r="B121" s="8" t="s">
        <v>609</v>
      </c>
    </row>
    <row r="122" spans="1:2" x14ac:dyDescent="0.2">
      <c r="A122" t="s">
        <v>1001</v>
      </c>
      <c r="B122" s="8" t="s">
        <v>590</v>
      </c>
    </row>
    <row r="123" spans="1:2" x14ac:dyDescent="0.2">
      <c r="A123" t="s">
        <v>1002</v>
      </c>
      <c r="B123" s="8" t="s">
        <v>583</v>
      </c>
    </row>
    <row r="124" spans="1:2" x14ac:dyDescent="0.2">
      <c r="A124" t="s">
        <v>1003</v>
      </c>
      <c r="B124" s="8" t="s">
        <v>520</v>
      </c>
    </row>
    <row r="125" spans="1:2" x14ac:dyDescent="0.2">
      <c r="A125" t="s">
        <v>1004</v>
      </c>
      <c r="B125" s="8" t="s">
        <v>481</v>
      </c>
    </row>
    <row r="126" spans="1:2" x14ac:dyDescent="0.2">
      <c r="A126" t="s">
        <v>1005</v>
      </c>
      <c r="B126" s="8" t="s">
        <v>529</v>
      </c>
    </row>
    <row r="127" spans="1:2" x14ac:dyDescent="0.2">
      <c r="A127" t="s">
        <v>1006</v>
      </c>
      <c r="B127" s="8" t="s">
        <v>591</v>
      </c>
    </row>
    <row r="128" spans="1:2" x14ac:dyDescent="0.2">
      <c r="A128" t="s">
        <v>1007</v>
      </c>
      <c r="B128" s="8" t="s">
        <v>615</v>
      </c>
    </row>
    <row r="129" spans="1:2" x14ac:dyDescent="0.2">
      <c r="A129" t="s">
        <v>1008</v>
      </c>
      <c r="B129" s="8" t="s">
        <v>539</v>
      </c>
    </row>
    <row r="130" spans="1:2" x14ac:dyDescent="0.2">
      <c r="A130" t="s">
        <v>1009</v>
      </c>
      <c r="B130" s="8" t="s">
        <v>506</v>
      </c>
    </row>
    <row r="131" spans="1:2" x14ac:dyDescent="0.2">
      <c r="A131" t="s">
        <v>1010</v>
      </c>
      <c r="B131" s="8" t="s">
        <v>565</v>
      </c>
    </row>
    <row r="132" spans="1:2" x14ac:dyDescent="0.2">
      <c r="A132" t="s">
        <v>1011</v>
      </c>
      <c r="B132" s="8" t="s">
        <v>626</v>
      </c>
    </row>
    <row r="133" spans="1:2" x14ac:dyDescent="0.2">
      <c r="A133" t="s">
        <v>1012</v>
      </c>
      <c r="B133" s="8" t="s">
        <v>468</v>
      </c>
    </row>
    <row r="134" spans="1:2" x14ac:dyDescent="0.2">
      <c r="A134" t="s">
        <v>1013</v>
      </c>
      <c r="B134" s="8" t="s">
        <v>551</v>
      </c>
    </row>
    <row r="135" spans="1:2" x14ac:dyDescent="0.2">
      <c r="A135" t="s">
        <v>1014</v>
      </c>
      <c r="B135" s="8" t="s">
        <v>570</v>
      </c>
    </row>
    <row r="136" spans="1:2" x14ac:dyDescent="0.2">
      <c r="A136" t="s">
        <v>1015</v>
      </c>
      <c r="B136" s="8" t="s">
        <v>625</v>
      </c>
    </row>
    <row r="137" spans="1:2" x14ac:dyDescent="0.2">
      <c r="A137" t="s">
        <v>1016</v>
      </c>
      <c r="B137" s="8" t="s">
        <v>611</v>
      </c>
    </row>
    <row r="138" spans="1:2" x14ac:dyDescent="0.2">
      <c r="A138" t="s">
        <v>1017</v>
      </c>
      <c r="B138" s="8" t="s">
        <v>617</v>
      </c>
    </row>
    <row r="139" spans="1:2" x14ac:dyDescent="0.2">
      <c r="A139" t="s">
        <v>1018</v>
      </c>
      <c r="B139" s="8" t="s">
        <v>499</v>
      </c>
    </row>
    <row r="140" spans="1:2" x14ac:dyDescent="0.2">
      <c r="A140" t="s">
        <v>1019</v>
      </c>
      <c r="B140" s="8" t="s">
        <v>510</v>
      </c>
    </row>
    <row r="141" spans="1:2" x14ac:dyDescent="0.2">
      <c r="A141" t="s">
        <v>1020</v>
      </c>
      <c r="B141" s="8" t="s">
        <v>1125</v>
      </c>
    </row>
    <row r="142" spans="1:2" x14ac:dyDescent="0.2">
      <c r="A142" t="s">
        <v>1021</v>
      </c>
      <c r="B142" s="8" t="s">
        <v>1126</v>
      </c>
    </row>
    <row r="143" spans="1:2" x14ac:dyDescent="0.2">
      <c r="A143" t="s">
        <v>1022</v>
      </c>
      <c r="B143" s="8" t="s">
        <v>1127</v>
      </c>
    </row>
    <row r="144" spans="1:2" x14ac:dyDescent="0.2">
      <c r="A144" t="s">
        <v>1023</v>
      </c>
      <c r="B144" s="8" t="s">
        <v>1128</v>
      </c>
    </row>
    <row r="145" spans="1:2" x14ac:dyDescent="0.2">
      <c r="A145" t="s">
        <v>1024</v>
      </c>
      <c r="B145" s="8" t="s">
        <v>1129</v>
      </c>
    </row>
    <row r="146" spans="1:2" x14ac:dyDescent="0.2">
      <c r="A146" t="s">
        <v>1025</v>
      </c>
      <c r="B146" s="8" t="s">
        <v>1130</v>
      </c>
    </row>
    <row r="147" spans="1:2" x14ac:dyDescent="0.2">
      <c r="A147" t="s">
        <v>1026</v>
      </c>
      <c r="B147" s="8" t="s">
        <v>1131</v>
      </c>
    </row>
    <row r="148" spans="1:2" x14ac:dyDescent="0.2">
      <c r="A148" t="s">
        <v>1027</v>
      </c>
      <c r="B148" s="8" t="s">
        <v>1132</v>
      </c>
    </row>
    <row r="149" spans="1:2" x14ac:dyDescent="0.2">
      <c r="A149" t="s">
        <v>1028</v>
      </c>
      <c r="B149" s="8" t="s">
        <v>1133</v>
      </c>
    </row>
    <row r="150" spans="1:2" x14ac:dyDescent="0.2">
      <c r="A150" t="s">
        <v>1029</v>
      </c>
      <c r="B150" s="8" t="s">
        <v>1134</v>
      </c>
    </row>
    <row r="151" spans="1:2" x14ac:dyDescent="0.2">
      <c r="A151" t="s">
        <v>1030</v>
      </c>
      <c r="B151" s="8" t="s">
        <v>1135</v>
      </c>
    </row>
    <row r="152" spans="1:2" x14ac:dyDescent="0.2">
      <c r="A152" t="s">
        <v>1031</v>
      </c>
      <c r="B152" s="8" t="s">
        <v>1136</v>
      </c>
    </row>
    <row r="153" spans="1:2" x14ac:dyDescent="0.2">
      <c r="A153" t="s">
        <v>1032</v>
      </c>
      <c r="B153" s="8" t="s">
        <v>1137</v>
      </c>
    </row>
    <row r="154" spans="1:2" x14ac:dyDescent="0.2">
      <c r="A154" t="s">
        <v>1033</v>
      </c>
      <c r="B154" s="8" t="s">
        <v>1138</v>
      </c>
    </row>
    <row r="155" spans="1:2" x14ac:dyDescent="0.2">
      <c r="A155" t="s">
        <v>1034</v>
      </c>
      <c r="B155" s="8" t="s">
        <v>1139</v>
      </c>
    </row>
    <row r="156" spans="1:2" x14ac:dyDescent="0.2">
      <c r="A156" t="s">
        <v>1035</v>
      </c>
      <c r="B156" s="8" t="s">
        <v>1140</v>
      </c>
    </row>
    <row r="157" spans="1:2" x14ac:dyDescent="0.2">
      <c r="A157" t="s">
        <v>1036</v>
      </c>
      <c r="B157" s="8" t="s">
        <v>1141</v>
      </c>
    </row>
    <row r="158" spans="1:2" x14ac:dyDescent="0.2">
      <c r="A158" t="s">
        <v>1037</v>
      </c>
      <c r="B158" s="8" t="s">
        <v>1142</v>
      </c>
    </row>
    <row r="159" spans="1:2" x14ac:dyDescent="0.2">
      <c r="A159" t="s">
        <v>1038</v>
      </c>
      <c r="B159" s="8" t="s">
        <v>1143</v>
      </c>
    </row>
    <row r="160" spans="1:2" x14ac:dyDescent="0.2">
      <c r="A160" t="s">
        <v>1039</v>
      </c>
      <c r="B160" s="8" t="s">
        <v>1144</v>
      </c>
    </row>
    <row r="161" spans="1:2" x14ac:dyDescent="0.2">
      <c r="A161" t="s">
        <v>1040</v>
      </c>
      <c r="B161" s="8" t="s">
        <v>1145</v>
      </c>
    </row>
    <row r="162" spans="1:2" x14ac:dyDescent="0.2">
      <c r="A162" t="s">
        <v>1041</v>
      </c>
      <c r="B162" s="8" t="s">
        <v>1146</v>
      </c>
    </row>
    <row r="163" spans="1:2" x14ac:dyDescent="0.2">
      <c r="A163" t="s">
        <v>1042</v>
      </c>
      <c r="B163" s="8" t="s">
        <v>1147</v>
      </c>
    </row>
    <row r="164" spans="1:2" x14ac:dyDescent="0.2">
      <c r="A164" t="s">
        <v>1043</v>
      </c>
      <c r="B164" s="8" t="s">
        <v>1148</v>
      </c>
    </row>
    <row r="165" spans="1:2" x14ac:dyDescent="0.2">
      <c r="A165" t="s">
        <v>1044</v>
      </c>
      <c r="B165" s="8" t="s">
        <v>1149</v>
      </c>
    </row>
    <row r="166" spans="1:2" x14ac:dyDescent="0.2">
      <c r="A166" t="s">
        <v>1045</v>
      </c>
      <c r="B166" s="8" t="s">
        <v>1150</v>
      </c>
    </row>
    <row r="167" spans="1:2" x14ac:dyDescent="0.2">
      <c r="A167" t="s">
        <v>1046</v>
      </c>
      <c r="B167" s="8" t="s">
        <v>1151</v>
      </c>
    </row>
    <row r="168" spans="1:2" x14ac:dyDescent="0.2">
      <c r="A168" t="s">
        <v>1047</v>
      </c>
      <c r="B168" s="8" t="s">
        <v>1152</v>
      </c>
    </row>
    <row r="169" spans="1:2" x14ac:dyDescent="0.2">
      <c r="A169" t="s">
        <v>1048</v>
      </c>
      <c r="B169" s="8" t="s">
        <v>1153</v>
      </c>
    </row>
    <row r="170" spans="1:2" x14ac:dyDescent="0.2">
      <c r="A170" t="s">
        <v>1049</v>
      </c>
      <c r="B170" s="8" t="s">
        <v>1154</v>
      </c>
    </row>
    <row r="171" spans="1:2" x14ac:dyDescent="0.2">
      <c r="A171" t="s">
        <v>1050</v>
      </c>
      <c r="B171" s="8" t="s">
        <v>1155</v>
      </c>
    </row>
    <row r="172" spans="1:2" x14ac:dyDescent="0.2">
      <c r="A172" t="s">
        <v>1051</v>
      </c>
      <c r="B172" s="8" t="s">
        <v>1156</v>
      </c>
    </row>
    <row r="173" spans="1:2" x14ac:dyDescent="0.2">
      <c r="A173" t="s">
        <v>1052</v>
      </c>
      <c r="B173" s="8" t="s">
        <v>1157</v>
      </c>
    </row>
    <row r="174" spans="1:2" x14ac:dyDescent="0.2">
      <c r="A174" t="s">
        <v>1053</v>
      </c>
      <c r="B174" s="8" t="s">
        <v>1158</v>
      </c>
    </row>
    <row r="175" spans="1:2" x14ac:dyDescent="0.2">
      <c r="A175" t="s">
        <v>1054</v>
      </c>
      <c r="B175" s="8" t="s">
        <v>1159</v>
      </c>
    </row>
    <row r="176" spans="1:2" x14ac:dyDescent="0.2">
      <c r="A176" t="s">
        <v>1055</v>
      </c>
      <c r="B176" s="8" t="s">
        <v>1160</v>
      </c>
    </row>
    <row r="177" spans="1:2" x14ac:dyDescent="0.2">
      <c r="A177" t="s">
        <v>1056</v>
      </c>
      <c r="B177" s="8" t="s">
        <v>1161</v>
      </c>
    </row>
    <row r="178" spans="1:2" x14ac:dyDescent="0.2">
      <c r="A178" t="s">
        <v>1057</v>
      </c>
      <c r="B178" s="8" t="s">
        <v>1162</v>
      </c>
    </row>
    <row r="179" spans="1:2" x14ac:dyDescent="0.2">
      <c r="A179" t="s">
        <v>1058</v>
      </c>
      <c r="B179" s="8" t="s">
        <v>1163</v>
      </c>
    </row>
    <row r="180" spans="1:2" x14ac:dyDescent="0.2">
      <c r="A180" t="s">
        <v>1059</v>
      </c>
      <c r="B180" s="8" t="s">
        <v>1164</v>
      </c>
    </row>
    <row r="181" spans="1:2" x14ac:dyDescent="0.2">
      <c r="A181" t="s">
        <v>1060</v>
      </c>
      <c r="B181" s="8" t="s">
        <v>1165</v>
      </c>
    </row>
    <row r="182" spans="1:2" x14ac:dyDescent="0.2">
      <c r="A182" t="s">
        <v>1061</v>
      </c>
      <c r="B182" s="8" t="s">
        <v>1166</v>
      </c>
    </row>
    <row r="183" spans="1:2" x14ac:dyDescent="0.2">
      <c r="A183" t="s">
        <v>1062</v>
      </c>
      <c r="B183" s="8" t="s">
        <v>1167</v>
      </c>
    </row>
    <row r="184" spans="1:2" x14ac:dyDescent="0.2">
      <c r="A184" t="s">
        <v>1063</v>
      </c>
      <c r="B184" s="8" t="s">
        <v>1168</v>
      </c>
    </row>
    <row r="185" spans="1:2" x14ac:dyDescent="0.2">
      <c r="A185" t="s">
        <v>1064</v>
      </c>
      <c r="B185" s="8" t="s">
        <v>1169</v>
      </c>
    </row>
    <row r="186" spans="1:2" x14ac:dyDescent="0.2">
      <c r="A186" t="s">
        <v>1065</v>
      </c>
      <c r="B186" s="8" t="s">
        <v>1170</v>
      </c>
    </row>
    <row r="187" spans="1:2" x14ac:dyDescent="0.2">
      <c r="A187" t="s">
        <v>1066</v>
      </c>
      <c r="B187" s="8" t="s">
        <v>1171</v>
      </c>
    </row>
    <row r="188" spans="1:2" x14ac:dyDescent="0.2">
      <c r="A188" t="s">
        <v>1067</v>
      </c>
      <c r="B188" s="8" t="s">
        <v>1172</v>
      </c>
    </row>
    <row r="189" spans="1:2" x14ac:dyDescent="0.2">
      <c r="A189" t="s">
        <v>1068</v>
      </c>
      <c r="B189" s="8" t="s">
        <v>1173</v>
      </c>
    </row>
    <row r="190" spans="1:2" x14ac:dyDescent="0.2">
      <c r="A190" t="s">
        <v>1069</v>
      </c>
      <c r="B190" s="8" t="s">
        <v>1174</v>
      </c>
    </row>
    <row r="191" spans="1:2" x14ac:dyDescent="0.2">
      <c r="A191" t="s">
        <v>1070</v>
      </c>
      <c r="B191" s="8" t="s">
        <v>1175</v>
      </c>
    </row>
    <row r="192" spans="1:2" x14ac:dyDescent="0.2">
      <c r="A192" t="s">
        <v>1071</v>
      </c>
      <c r="B192" s="8" t="s">
        <v>1176</v>
      </c>
    </row>
    <row r="193" spans="1:2" x14ac:dyDescent="0.2">
      <c r="A193" t="s">
        <v>1072</v>
      </c>
      <c r="B193" s="8" t="s">
        <v>1177</v>
      </c>
    </row>
    <row r="194" spans="1:2" x14ac:dyDescent="0.2">
      <c r="A194" t="s">
        <v>1073</v>
      </c>
      <c r="B194" s="8" t="s">
        <v>1178</v>
      </c>
    </row>
    <row r="195" spans="1:2" x14ac:dyDescent="0.2">
      <c r="A195" t="s">
        <v>1074</v>
      </c>
      <c r="B195" s="8" t="s">
        <v>1179</v>
      </c>
    </row>
    <row r="196" spans="1:2" x14ac:dyDescent="0.2">
      <c r="A196" t="s">
        <v>1075</v>
      </c>
      <c r="B196" s="8" t="s">
        <v>1180</v>
      </c>
    </row>
    <row r="197" spans="1:2" x14ac:dyDescent="0.2">
      <c r="A197" t="s">
        <v>1076</v>
      </c>
      <c r="B197" s="8" t="s">
        <v>1181</v>
      </c>
    </row>
    <row r="198" spans="1:2" x14ac:dyDescent="0.2">
      <c r="A198" t="s">
        <v>1077</v>
      </c>
      <c r="B198" s="8" t="s">
        <v>1182</v>
      </c>
    </row>
    <row r="199" spans="1:2" x14ac:dyDescent="0.2">
      <c r="A199" t="s">
        <v>1078</v>
      </c>
      <c r="B199" s="8" t="s">
        <v>1183</v>
      </c>
    </row>
    <row r="200" spans="1:2" x14ac:dyDescent="0.2">
      <c r="A200" t="s">
        <v>1079</v>
      </c>
      <c r="B200" s="8" t="s">
        <v>1184</v>
      </c>
    </row>
    <row r="201" spans="1:2" x14ac:dyDescent="0.2">
      <c r="A201" t="s">
        <v>1080</v>
      </c>
      <c r="B201" s="8" t="s">
        <v>1185</v>
      </c>
    </row>
    <row r="202" spans="1:2" x14ac:dyDescent="0.2">
      <c r="A202" t="s">
        <v>1081</v>
      </c>
      <c r="B202" s="8" t="s">
        <v>1186</v>
      </c>
    </row>
    <row r="203" spans="1:2" x14ac:dyDescent="0.2">
      <c r="A203" t="s">
        <v>1082</v>
      </c>
      <c r="B203" s="8" t="s">
        <v>1187</v>
      </c>
    </row>
    <row r="204" spans="1:2" x14ac:dyDescent="0.2">
      <c r="A204" t="s">
        <v>1083</v>
      </c>
      <c r="B204" s="8" t="s">
        <v>1188</v>
      </c>
    </row>
    <row r="205" spans="1:2" x14ac:dyDescent="0.2">
      <c r="A205" t="s">
        <v>1084</v>
      </c>
      <c r="B205" s="8" t="s">
        <v>1189</v>
      </c>
    </row>
    <row r="206" spans="1:2" x14ac:dyDescent="0.2">
      <c r="A206" t="s">
        <v>1085</v>
      </c>
      <c r="B206" s="8" t="s">
        <v>1190</v>
      </c>
    </row>
    <row r="207" spans="1:2" x14ac:dyDescent="0.2">
      <c r="A207" t="s">
        <v>1086</v>
      </c>
      <c r="B207" s="8" t="s">
        <v>1191</v>
      </c>
    </row>
    <row r="208" spans="1:2" x14ac:dyDescent="0.2">
      <c r="A208" t="s">
        <v>1087</v>
      </c>
      <c r="B208" s="8" t="s">
        <v>1192</v>
      </c>
    </row>
    <row r="209" spans="1:2" x14ac:dyDescent="0.2">
      <c r="A209" t="s">
        <v>1088</v>
      </c>
      <c r="B209" s="8" t="s">
        <v>1193</v>
      </c>
    </row>
    <row r="210" spans="1:2" x14ac:dyDescent="0.2">
      <c r="A210" t="s">
        <v>1089</v>
      </c>
      <c r="B210" s="8" t="s">
        <v>1194</v>
      </c>
    </row>
    <row r="211" spans="1:2" x14ac:dyDescent="0.2">
      <c r="A211" t="s">
        <v>1090</v>
      </c>
      <c r="B211" s="8" t="s">
        <v>1195</v>
      </c>
    </row>
    <row r="212" spans="1:2" x14ac:dyDescent="0.2">
      <c r="A212" t="s">
        <v>1091</v>
      </c>
      <c r="B212" s="8" t="s">
        <v>1196</v>
      </c>
    </row>
    <row r="213" spans="1:2" x14ac:dyDescent="0.2">
      <c r="A213" t="s">
        <v>1092</v>
      </c>
      <c r="B213" s="8" t="s">
        <v>1197</v>
      </c>
    </row>
    <row r="214" spans="1:2" x14ac:dyDescent="0.2">
      <c r="A214" t="s">
        <v>1093</v>
      </c>
      <c r="B214" s="8" t="s">
        <v>1198</v>
      </c>
    </row>
    <row r="215" spans="1:2" x14ac:dyDescent="0.2">
      <c r="A215" t="s">
        <v>1094</v>
      </c>
      <c r="B215" s="8" t="s">
        <v>1199</v>
      </c>
    </row>
    <row r="216" spans="1:2" x14ac:dyDescent="0.2">
      <c r="A216" t="s">
        <v>1095</v>
      </c>
      <c r="B216" s="8" t="s">
        <v>1200</v>
      </c>
    </row>
    <row r="217" spans="1:2" x14ac:dyDescent="0.2">
      <c r="A217" t="s">
        <v>1096</v>
      </c>
      <c r="B217" s="8" t="s">
        <v>1201</v>
      </c>
    </row>
    <row r="218" spans="1:2" x14ac:dyDescent="0.2">
      <c r="A218" t="s">
        <v>1097</v>
      </c>
      <c r="B218" s="8" t="s">
        <v>1202</v>
      </c>
    </row>
    <row r="219" spans="1:2" x14ac:dyDescent="0.2">
      <c r="A219" t="s">
        <v>1098</v>
      </c>
      <c r="B219" s="8" t="s">
        <v>1203</v>
      </c>
    </row>
    <row r="220" spans="1:2" x14ac:dyDescent="0.2">
      <c r="A220" t="s">
        <v>1099</v>
      </c>
      <c r="B220" s="8" t="s">
        <v>1204</v>
      </c>
    </row>
    <row r="221" spans="1:2" x14ac:dyDescent="0.2">
      <c r="A221" t="s">
        <v>1100</v>
      </c>
      <c r="B221" s="8" t="s">
        <v>1205</v>
      </c>
    </row>
    <row r="222" spans="1:2" x14ac:dyDescent="0.2">
      <c r="A222" t="s">
        <v>1101</v>
      </c>
      <c r="B222" s="8" t="s">
        <v>1206</v>
      </c>
    </row>
    <row r="223" spans="1:2" x14ac:dyDescent="0.2">
      <c r="A223" t="s">
        <v>1102</v>
      </c>
      <c r="B223" s="8" t="s">
        <v>1207</v>
      </c>
    </row>
    <row r="224" spans="1:2" x14ac:dyDescent="0.2">
      <c r="A224" t="s">
        <v>1103</v>
      </c>
      <c r="B224" s="8" t="s">
        <v>1208</v>
      </c>
    </row>
    <row r="225" spans="1:2" x14ac:dyDescent="0.2">
      <c r="A225" t="s">
        <v>1104</v>
      </c>
      <c r="B225" s="8" t="s">
        <v>1209</v>
      </c>
    </row>
    <row r="226" spans="1:2" x14ac:dyDescent="0.2">
      <c r="A226" t="s">
        <v>1105</v>
      </c>
      <c r="B226" s="8" t="s">
        <v>1210</v>
      </c>
    </row>
    <row r="227" spans="1:2" x14ac:dyDescent="0.2">
      <c r="A227" t="s">
        <v>1106</v>
      </c>
      <c r="B227" s="8" t="s">
        <v>1211</v>
      </c>
    </row>
    <row r="228" spans="1:2" x14ac:dyDescent="0.2">
      <c r="A228" t="s">
        <v>1107</v>
      </c>
      <c r="B228" s="8" t="s">
        <v>1212</v>
      </c>
    </row>
    <row r="229" spans="1:2" x14ac:dyDescent="0.2">
      <c r="A229" t="s">
        <v>1108</v>
      </c>
      <c r="B229" s="8" t="s">
        <v>1213</v>
      </c>
    </row>
    <row r="230" spans="1:2" x14ac:dyDescent="0.2">
      <c r="A230" t="s">
        <v>1109</v>
      </c>
      <c r="B230" s="8" t="s">
        <v>1214</v>
      </c>
    </row>
    <row r="231" spans="1:2" x14ac:dyDescent="0.2">
      <c r="A231" t="s">
        <v>1110</v>
      </c>
      <c r="B231" s="8" t="s">
        <v>1215</v>
      </c>
    </row>
    <row r="232" spans="1:2" x14ac:dyDescent="0.2">
      <c r="A232" t="s">
        <v>1111</v>
      </c>
      <c r="B232" s="8" t="s">
        <v>1216</v>
      </c>
    </row>
    <row r="233" spans="1:2" x14ac:dyDescent="0.2">
      <c r="A233" t="s">
        <v>1112</v>
      </c>
      <c r="B233" s="8" t="s">
        <v>1217</v>
      </c>
    </row>
    <row r="234" spans="1:2" x14ac:dyDescent="0.2">
      <c r="A234" t="s">
        <v>1113</v>
      </c>
      <c r="B234" s="8" t="s">
        <v>1218</v>
      </c>
    </row>
    <row r="235" spans="1:2" x14ac:dyDescent="0.2">
      <c r="A235" t="s">
        <v>1114</v>
      </c>
      <c r="B235" s="8" t="s">
        <v>1219</v>
      </c>
    </row>
    <row r="236" spans="1:2" x14ac:dyDescent="0.2">
      <c r="A236" t="s">
        <v>1115</v>
      </c>
      <c r="B236" s="8" t="s">
        <v>1220</v>
      </c>
    </row>
    <row r="237" spans="1:2" x14ac:dyDescent="0.2">
      <c r="A237" t="s">
        <v>1116</v>
      </c>
      <c r="B237" s="8" t="s">
        <v>1221</v>
      </c>
    </row>
    <row r="238" spans="1:2" x14ac:dyDescent="0.2">
      <c r="A238" t="s">
        <v>1117</v>
      </c>
      <c r="B238" s="8" t="s">
        <v>1222</v>
      </c>
    </row>
    <row r="239" spans="1:2" x14ac:dyDescent="0.2">
      <c r="A239" t="s">
        <v>1118</v>
      </c>
      <c r="B239" s="8" t="s">
        <v>1223</v>
      </c>
    </row>
    <row r="240" spans="1:2" x14ac:dyDescent="0.2">
      <c r="A240" t="s">
        <v>1119</v>
      </c>
      <c r="B240" s="8" t="s">
        <v>1224</v>
      </c>
    </row>
    <row r="241" spans="1:2" x14ac:dyDescent="0.2">
      <c r="A241" t="s">
        <v>1120</v>
      </c>
      <c r="B241" s="8" t="s">
        <v>1225</v>
      </c>
    </row>
    <row r="242" spans="1:2" x14ac:dyDescent="0.2">
      <c r="A242" t="s">
        <v>1121</v>
      </c>
      <c r="B242" s="8" t="s">
        <v>1226</v>
      </c>
    </row>
    <row r="243" spans="1:2" x14ac:dyDescent="0.2">
      <c r="A243" t="s">
        <v>1122</v>
      </c>
      <c r="B243" s="8" t="s">
        <v>1227</v>
      </c>
    </row>
    <row r="244" spans="1:2" x14ac:dyDescent="0.2">
      <c r="A244" t="s">
        <v>1123</v>
      </c>
      <c r="B244" s="8" t="s">
        <v>1228</v>
      </c>
    </row>
    <row r="245" spans="1:2" x14ac:dyDescent="0.2">
      <c r="A245" t="s">
        <v>1124</v>
      </c>
      <c r="B245" s="8" t="s">
        <v>1229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204B-4A88-A848-85C3-5639C0F43ACA}">
  <dimension ref="A1:L14"/>
  <sheetViews>
    <sheetView workbookViewId="0">
      <selection activeCell="G23" sqref="F23:G23"/>
    </sheetView>
  </sheetViews>
  <sheetFormatPr baseColWidth="10" defaultRowHeight="16" x14ac:dyDescent="0.2"/>
  <cols>
    <col min="2" max="2" width="34.33203125" bestFit="1" customWidth="1"/>
    <col min="6" max="6" width="36.33203125" bestFit="1" customWidth="1"/>
    <col min="10" max="10" width="21.6640625" bestFit="1" customWidth="1"/>
  </cols>
  <sheetData>
    <row r="1" spans="1:12" x14ac:dyDescent="0.2">
      <c r="A1" s="11" t="s">
        <v>526</v>
      </c>
      <c r="B1" s="11"/>
      <c r="C1" s="11" t="s">
        <v>1230</v>
      </c>
      <c r="D1" s="11"/>
      <c r="E1" s="11" t="s">
        <v>1231</v>
      </c>
      <c r="F1" s="11"/>
      <c r="G1" s="11" t="s">
        <v>1230</v>
      </c>
      <c r="H1" s="11"/>
      <c r="I1" s="11" t="s">
        <v>525</v>
      </c>
      <c r="J1" s="12" t="s">
        <v>1232</v>
      </c>
      <c r="K1" s="11" t="s">
        <v>1230</v>
      </c>
      <c r="L1" s="5"/>
    </row>
    <row r="2" spans="1:12" x14ac:dyDescent="0.2">
      <c r="A2" s="12" t="s">
        <v>1233</v>
      </c>
      <c r="B2" s="12" t="s">
        <v>1234</v>
      </c>
      <c r="C2" s="12"/>
      <c r="D2" s="12"/>
      <c r="E2" s="12" t="s">
        <v>1233</v>
      </c>
      <c r="F2" s="12" t="s">
        <v>1234</v>
      </c>
      <c r="G2" s="12"/>
      <c r="H2" s="12"/>
      <c r="I2" s="12" t="s">
        <v>1233</v>
      </c>
      <c r="J2" s="12" t="s">
        <v>1234</v>
      </c>
      <c r="K2" s="12"/>
      <c r="L2" s="5"/>
    </row>
    <row r="3" spans="1:12" x14ac:dyDescent="0.2">
      <c r="A3" s="5">
        <v>6673274</v>
      </c>
      <c r="B3" s="5" t="s">
        <v>1235</v>
      </c>
      <c r="C3" s="5">
        <v>1032467881</v>
      </c>
      <c r="D3" s="5"/>
      <c r="E3" s="5">
        <v>6673272</v>
      </c>
      <c r="F3" s="5" t="s">
        <v>1236</v>
      </c>
      <c r="G3" s="5">
        <v>1032467951</v>
      </c>
      <c r="H3" s="5"/>
      <c r="I3" s="5">
        <v>6577040</v>
      </c>
      <c r="J3" s="5" t="s">
        <v>1237</v>
      </c>
      <c r="K3" s="5">
        <v>1032473171</v>
      </c>
    </row>
    <row r="4" spans="1:12" x14ac:dyDescent="0.2">
      <c r="A4" s="5">
        <v>6696906</v>
      </c>
      <c r="B4" s="5" t="s">
        <v>1238</v>
      </c>
      <c r="C4" s="5">
        <v>1032539081</v>
      </c>
      <c r="D4" s="5"/>
      <c r="E4" s="5">
        <v>6696906</v>
      </c>
      <c r="F4" s="5" t="s">
        <v>1238</v>
      </c>
      <c r="G4" s="5">
        <v>1032539081</v>
      </c>
      <c r="H4" s="5"/>
      <c r="I4" s="5">
        <v>6696902</v>
      </c>
      <c r="J4" s="5" t="s">
        <v>1239</v>
      </c>
      <c r="K4" s="5">
        <v>1032539091</v>
      </c>
    </row>
    <row r="5" spans="1:12" x14ac:dyDescent="0.2">
      <c r="A5" s="5">
        <v>6696904</v>
      </c>
      <c r="B5" s="5" t="s">
        <v>1240</v>
      </c>
      <c r="C5" s="5">
        <v>1032539101</v>
      </c>
      <c r="D5" s="5"/>
      <c r="E5" s="5">
        <v>6696904</v>
      </c>
      <c r="F5" s="5" t="s">
        <v>1240</v>
      </c>
      <c r="G5" s="5">
        <v>1032539101</v>
      </c>
      <c r="H5" s="5"/>
      <c r="I5" s="5"/>
      <c r="J5" s="5"/>
      <c r="K5" s="5"/>
      <c r="L5" s="5"/>
    </row>
    <row r="6" spans="1:12" x14ac:dyDescent="0.2">
      <c r="A6" s="5">
        <v>6696900</v>
      </c>
      <c r="B6" s="5" t="s">
        <v>1241</v>
      </c>
      <c r="C6" s="5">
        <v>1032539111</v>
      </c>
      <c r="D6" s="5"/>
      <c r="E6" s="5">
        <v>6696900</v>
      </c>
      <c r="F6" s="5" t="s">
        <v>1241</v>
      </c>
      <c r="G6" s="5">
        <v>1032539111</v>
      </c>
      <c r="H6" s="5"/>
      <c r="I6" s="5"/>
      <c r="J6" s="5"/>
      <c r="K6" s="5"/>
      <c r="L6" s="5"/>
    </row>
    <row r="7" spans="1:12" x14ac:dyDescent="0.2">
      <c r="A7" s="5"/>
      <c r="B7" s="5"/>
      <c r="C7" s="5"/>
      <c r="D7" s="5"/>
      <c r="E7" s="5"/>
      <c r="F7" s="5"/>
      <c r="G7" s="5"/>
      <c r="H7" s="5"/>
      <c r="I7" s="5"/>
      <c r="J7" s="5"/>
      <c r="K7" s="5"/>
      <c r="L7" s="5"/>
    </row>
    <row r="8" spans="1:12" x14ac:dyDescent="0.2">
      <c r="A8" s="5"/>
      <c r="B8" s="5"/>
      <c r="C8" s="5"/>
      <c r="D8" s="5"/>
      <c r="E8" s="5"/>
      <c r="F8" s="5"/>
      <c r="G8" s="5"/>
      <c r="H8" s="5"/>
      <c r="I8" s="5"/>
      <c r="J8" s="5"/>
      <c r="K8" s="5"/>
      <c r="L8" s="5"/>
    </row>
    <row r="9" spans="1:12" x14ac:dyDescent="0.2">
      <c r="A9" s="5"/>
      <c r="B9" s="5"/>
      <c r="C9" s="5"/>
      <c r="D9" s="5"/>
      <c r="E9" s="5"/>
      <c r="F9" s="5"/>
      <c r="G9" s="5"/>
      <c r="H9" s="5"/>
      <c r="I9" s="5"/>
      <c r="J9" s="5"/>
      <c r="K9" s="5"/>
      <c r="L9" s="5"/>
    </row>
    <row r="10" spans="1:12" x14ac:dyDescent="0.2">
      <c r="A10" s="5"/>
      <c r="B10" s="5"/>
      <c r="C10" s="5"/>
      <c r="D10" s="5"/>
      <c r="E10" s="5"/>
      <c r="F10" s="5"/>
      <c r="G10" s="5"/>
      <c r="H10" s="5"/>
      <c r="I10" s="5"/>
      <c r="J10" s="5"/>
      <c r="K10" s="5"/>
      <c r="L10" s="5"/>
    </row>
    <row r="11" spans="1:12" x14ac:dyDescent="0.2">
      <c r="A11" s="5" t="s">
        <v>1242</v>
      </c>
      <c r="B11" s="5"/>
      <c r="C11" s="5"/>
      <c r="D11" s="5"/>
      <c r="E11" s="5"/>
      <c r="F11" s="5"/>
      <c r="G11" s="5"/>
      <c r="H11" s="5"/>
      <c r="I11" s="5"/>
      <c r="J11" s="5"/>
      <c r="K11" s="5"/>
      <c r="L11" s="5"/>
    </row>
    <row r="12" spans="1:12" x14ac:dyDescent="0.2">
      <c r="B12" s="15" t="s">
        <v>1244</v>
      </c>
      <c r="C12" s="16" t="s">
        <v>1245</v>
      </c>
      <c r="F12" s="15" t="s">
        <v>1244</v>
      </c>
      <c r="G12" s="16" t="s">
        <v>1245</v>
      </c>
      <c r="J12" s="15" t="s">
        <v>1244</v>
      </c>
      <c r="K12" s="16" t="s">
        <v>1245</v>
      </c>
    </row>
    <row r="13" spans="1:12" x14ac:dyDescent="0.2">
      <c r="B13" s="15" t="s">
        <v>1246</v>
      </c>
      <c r="C13" s="16">
        <v>1031965702</v>
      </c>
      <c r="F13" s="15" t="s">
        <v>1246</v>
      </c>
      <c r="G13" s="16">
        <v>1031965702</v>
      </c>
      <c r="J13" s="15" t="s">
        <v>1246</v>
      </c>
      <c r="K13" s="16">
        <v>1031965702</v>
      </c>
    </row>
    <row r="14" spans="1:12" x14ac:dyDescent="0.2">
      <c r="B14" s="15" t="s">
        <v>1247</v>
      </c>
      <c r="C14" s="16">
        <v>1032166482</v>
      </c>
      <c r="F14" s="15" t="s">
        <v>1247</v>
      </c>
      <c r="G14" s="16">
        <v>1032166482</v>
      </c>
      <c r="J14" s="15" t="s">
        <v>1247</v>
      </c>
      <c r="K14" s="16">
        <v>1032166482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campaigns-2025-11-21</vt:lpstr>
      <vt:lpstr>Sheet2</vt:lpstr>
      <vt:lpstr>ExoLaunches</vt:lpstr>
      <vt:lpstr>Keywords to launch</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Dommett</dc:creator>
  <cp:lastModifiedBy>Josh Bretag</cp:lastModifiedBy>
  <dcterms:created xsi:type="dcterms:W3CDTF">2025-11-21T02:32:38Z</dcterms:created>
  <dcterms:modified xsi:type="dcterms:W3CDTF">2025-12-03T05:00:07Z</dcterms:modified>
</cp:coreProperties>
</file>